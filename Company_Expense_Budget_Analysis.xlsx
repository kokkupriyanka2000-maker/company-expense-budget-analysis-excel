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SHIVA\Desktop\"/>
    </mc:Choice>
  </mc:AlternateContent>
  <bookViews>
    <workbookView xWindow="0" yWindow="0" windowWidth="20490" windowHeight="7755" firstSheet="1" activeTab="1"/>
  </bookViews>
  <sheets>
    <sheet name="Department Summary" sheetId="2" state="hidden" r:id="rId1"/>
    <sheet name="Dashboard" sheetId="6" r:id="rId2"/>
    <sheet name="Monthly Summary" sheetId="3" state="hidden" r:id="rId3"/>
    <sheet name="Department Summary (variance)" sheetId="7" state="hidden" r:id="rId4"/>
    <sheet name="Sheet10" sheetId="11" state="hidden" r:id="rId5"/>
    <sheet name="revenue_forecasting_dataset" sheetId="1" state="hidden" r:id="rId6"/>
    <sheet name="Dashboard 2" sheetId="9" state="hidden" r:id="rId7"/>
    <sheet name="KPI_Helper" sheetId="10" state="hidden" r:id="rId8"/>
  </sheets>
  <definedNames>
    <definedName name="Slicer_Department1">#N/A</definedName>
    <definedName name="Slicer_Month1">#N/A</definedName>
  </definedNames>
  <calcPr calcId="152511"/>
  <pivotCaches>
    <pivotCache cacheId="14"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R5" i="9" l="1"/>
  <c r="R4" i="9"/>
  <c r="R3" i="9"/>
  <c r="R2" i="9"/>
  <c r="B15" i="10"/>
  <c r="B9" i="10"/>
  <c r="B12" i="10" s="1"/>
  <c r="B6" i="10"/>
  <c r="K22" i="6"/>
  <c r="K23" i="6" s="1"/>
  <c r="K24" i="6" s="1"/>
  <c r="J3" i="9"/>
  <c r="J4" i="9" s="1"/>
  <c r="J5" i="9" s="1"/>
  <c r="C103" i="1"/>
  <c r="C102" i="1"/>
  <c r="C101" i="1"/>
  <c r="C100" i="1"/>
</calcChain>
</file>

<file path=xl/sharedStrings.xml><?xml version="1.0" encoding="utf-8"?>
<sst xmlns="http://schemas.openxmlformats.org/spreadsheetml/2006/main" count="197" uniqueCount="54">
  <si>
    <t>Department</t>
  </si>
  <si>
    <t>Month</t>
  </si>
  <si>
    <t>Budget</t>
  </si>
  <si>
    <t>Actual</t>
  </si>
  <si>
    <t>Forecast</t>
  </si>
  <si>
    <t>IT</t>
  </si>
  <si>
    <t>HR</t>
  </si>
  <si>
    <t>Sales</t>
  </si>
  <si>
    <t>Marketing</t>
  </si>
  <si>
    <t>Finance</t>
  </si>
  <si>
    <t>Operations</t>
  </si>
  <si>
    <t>Customer Success</t>
  </si>
  <si>
    <t>R&amp;D</t>
  </si>
  <si>
    <t>Variance_Amount_Budget</t>
  </si>
  <si>
    <t>Variance_Amount_Forecast</t>
  </si>
  <si>
    <t>Variance_%_Budget</t>
  </si>
  <si>
    <t>Variance_%_Forecast</t>
  </si>
  <si>
    <t>Variance %</t>
  </si>
  <si>
    <t>Total budget</t>
  </si>
  <si>
    <t>Total actual</t>
  </si>
  <si>
    <t>Total variance</t>
  </si>
  <si>
    <t>Grand Total</t>
  </si>
  <si>
    <t>Total Budget</t>
  </si>
  <si>
    <t>Total  Actual</t>
  </si>
  <si>
    <t xml:space="preserve"> Variance</t>
  </si>
  <si>
    <t>Pivot Table - 1</t>
  </si>
  <si>
    <t>Pivot Table - 2 (monthly trend)</t>
  </si>
  <si>
    <t>(department wise summary table)</t>
  </si>
  <si>
    <t>Total Actual</t>
  </si>
  <si>
    <t>BUDGET vs ACTUAL</t>
  </si>
  <si>
    <t xml:space="preserve">93.16 M </t>
  </si>
  <si>
    <t>Cell</t>
  </si>
  <si>
    <t>Type thhis</t>
  </si>
  <si>
    <t>KPI</t>
  </si>
  <si>
    <t>Value</t>
  </si>
  <si>
    <t>B1</t>
  </si>
  <si>
    <t>A1</t>
  </si>
  <si>
    <t xml:space="preserve">B2               </t>
  </si>
  <si>
    <t xml:space="preserve">A2             </t>
  </si>
  <si>
    <t xml:space="preserve">  Total Budget </t>
  </si>
  <si>
    <t>A3</t>
  </si>
  <si>
    <t xml:space="preserve"> Total Actual </t>
  </si>
  <si>
    <t xml:space="preserve">B3 </t>
  </si>
  <si>
    <t>A4</t>
  </si>
  <si>
    <t xml:space="preserve"> Total Variance </t>
  </si>
  <si>
    <t>B4</t>
  </si>
  <si>
    <t>A5</t>
  </si>
  <si>
    <t>Variance%</t>
  </si>
  <si>
    <t>B5</t>
  </si>
  <si>
    <t>BUDGET</t>
  </si>
  <si>
    <t>ACTUAL</t>
  </si>
  <si>
    <t>VARIANCE</t>
  </si>
  <si>
    <t>%</t>
  </si>
  <si>
    <t xml:space="preserve"> Variance %</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</si>
</sst>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9" formatCode="#,##0.00,,&quot; M &quot;"/>
    <numFmt numFmtId="170" formatCode="#,##0.00,,&quot; M&quot;"/>
    <numFmt numFmtId="171"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0"/>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4">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6" fillId="33" borderId="10" xfId="0" applyNumberFormat="1" applyFont="1" applyFill="1" applyBorder="1"/>
    <xf numFmtId="14" fontId="0" fillId="0" borderId="0" xfId="0" applyNumberFormat="1" applyAlignment="1">
      <alignment horizontal="left"/>
    </xf>
    <xf numFmtId="0" fontId="16" fillId="0" borderId="0" xfId="0" applyFont="1"/>
    <xf numFmtId="0" fontId="18" fillId="0" borderId="0" xfId="0" applyFont="1"/>
    <xf numFmtId="169" fontId="0" fillId="0" borderId="0" xfId="0" applyNumberFormat="1"/>
    <xf numFmtId="170" fontId="0" fillId="0" borderId="0" xfId="0" applyNumberFormat="1"/>
    <xf numFmtId="171" fontId="0" fillId="0" borderId="0" xfId="0" applyNumberFormat="1"/>
    <xf numFmtId="0" fontId="0" fillId="0" borderId="0" xfId="0" applyAlignment="1">
      <alignment horizontal="center" vertical="top"/>
    </xf>
    <xf numFmtId="0" fontId="0"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font>
        <color theme="0"/>
      </font>
      <fill>
        <patternFill>
          <bgColor rgb="FFFF0000"/>
        </patternFill>
      </fill>
    </dxf>
    <dxf>
      <font>
        <color theme="0"/>
      </font>
      <fill>
        <patternFill>
          <bgColor rgb="FF00B050"/>
        </patternFill>
      </fill>
    </dxf>
    <dxf>
      <font>
        <color theme="0"/>
      </font>
      <fill>
        <patternFill>
          <bgColor theme="9"/>
        </patternFill>
      </fill>
    </dxf>
    <dxf>
      <font>
        <color theme="0"/>
      </font>
      <fill>
        <patternFill>
          <bgColor rgb="FF00B050"/>
        </patternFill>
      </fill>
    </dxf>
    <dxf>
      <font>
        <color theme="0"/>
      </font>
      <fill>
        <patternFill>
          <bgColor rgb="FFFF0000"/>
        </patternFill>
      </fill>
    </dxf>
    <dxf>
      <font>
        <color rgb="FF00B050"/>
      </font>
    </dxf>
    <dxf>
      <font>
        <color rgb="FFFF0000"/>
      </font>
    </dxf>
    <dxf>
      <font>
        <color rgb="FF9C0006"/>
      </font>
      <fill>
        <patternFill>
          <bgColor rgb="FFFFC7CE"/>
        </patternFill>
      </fill>
    </dxf>
    <dxf>
      <font>
        <color rgb="FF00B050"/>
      </font>
    </dxf>
    <dxf>
      <font>
        <color rgb="FFFF0000"/>
      </font>
    </dxf>
    <dxf>
      <font>
        <color theme="1"/>
      </font>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[Company_Expense_Budget_Analysis.xlsx]Department Summary!PivotTable1</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Department</a:t>
            </a:r>
            <a:r>
              <a:rPr lang="en-IN" b="1" baseline="0"/>
              <a:t> Wise Budget vs Actual</a:t>
            </a:r>
            <a:endParaRPr lang="en-IN" b="1"/>
          </a:p>
        </c:rich>
      </c:tx>
      <c:layout>
        <c:manualLayout>
          <c:xMode val="edge"/>
          <c:yMode val="edge"/>
          <c:x val="0.23312489063867017"/>
          <c:y val="0.11934966462525518"/>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'Department Summary'!$B$3</c:f>
              <c:strCache>
                <c:ptCount val="1"/>
                <c:pt idx="0">
                  <c:v>Total Budget</c:v>
                </c:pt>
              </c:strCache>
            </c:strRef>
          </c:tx>
          <c:spPr>
            <a:solidFill>
              <a:schemeClr val="accent1"/>
            </a:solidFill>
            <a:ln>
              <a:noFill/>
            </a:ln>
            <a:effectLst/>
          </c:spPr>
          <c:invertIfNegative val="0"/>
          <c:cat>
            <c:strRef>
              <c:f>'Department Summary'!$A$4:$A$12</c:f>
              <c:strCache>
                <c:ptCount val="8"/>
                <c:pt idx="0">
                  <c:v>Customer Success</c:v>
                </c:pt>
                <c:pt idx="1">
                  <c:v>Finance</c:v>
                </c:pt>
                <c:pt idx="2">
                  <c:v>HR</c:v>
                </c:pt>
                <c:pt idx="3">
                  <c:v>IT</c:v>
                </c:pt>
                <c:pt idx="4">
                  <c:v>Marketing</c:v>
                </c:pt>
                <c:pt idx="5">
                  <c:v>Operations</c:v>
                </c:pt>
                <c:pt idx="6">
                  <c:v>R&amp;D</c:v>
                </c:pt>
                <c:pt idx="7">
                  <c:v>Sales</c:v>
                </c:pt>
              </c:strCache>
            </c:strRef>
          </c:cat>
          <c:val>
            <c:numRef>
              <c:f>'Department Summary'!$B$4:$B$12</c:f>
              <c:numCache>
                <c:formatCode>General</c:formatCode>
                <c:ptCount val="8"/>
                <c:pt idx="0">
                  <c:v>3857751.1500000004</c:v>
                </c:pt>
                <c:pt idx="1">
                  <c:v>3921553.98</c:v>
                </c:pt>
                <c:pt idx="2">
                  <c:v>3814596.71</c:v>
                </c:pt>
                <c:pt idx="3">
                  <c:v>3878006.36</c:v>
                </c:pt>
                <c:pt idx="4">
                  <c:v>3677209.13</c:v>
                </c:pt>
                <c:pt idx="5">
                  <c:v>3981190.2199999997</c:v>
                </c:pt>
                <c:pt idx="6">
                  <c:v>4241418.7299999995</c:v>
                </c:pt>
                <c:pt idx="7">
                  <c:v>3680996.5300000003</c:v>
                </c:pt>
              </c:numCache>
            </c:numRef>
          </c:val>
        </c:ser>
        <c:ser>
          <c:idx val="1"/>
          <c:order val="1"/>
          <c:tx>
            <c:strRef>
              <c:f>'Department Summary'!$C$3</c:f>
              <c:strCache>
                <c:ptCount val="1"/>
                <c:pt idx="0">
                  <c:v>Total  Actual</c:v>
                </c:pt>
              </c:strCache>
            </c:strRef>
          </c:tx>
          <c:spPr>
            <a:solidFill>
              <a:schemeClr val="accent2"/>
            </a:solidFill>
            <a:ln>
              <a:noFill/>
            </a:ln>
            <a:effectLst/>
          </c:spPr>
          <c:invertIfNegative val="0"/>
          <c:cat>
            <c:strRef>
              <c:f>'Department Summary'!$A$4:$A$12</c:f>
              <c:strCache>
                <c:ptCount val="8"/>
                <c:pt idx="0">
                  <c:v>Customer Success</c:v>
                </c:pt>
                <c:pt idx="1">
                  <c:v>Finance</c:v>
                </c:pt>
                <c:pt idx="2">
                  <c:v>HR</c:v>
                </c:pt>
                <c:pt idx="3">
                  <c:v>IT</c:v>
                </c:pt>
                <c:pt idx="4">
                  <c:v>Marketing</c:v>
                </c:pt>
                <c:pt idx="5">
                  <c:v>Operations</c:v>
                </c:pt>
                <c:pt idx="6">
                  <c:v>R&amp;D</c:v>
                </c:pt>
                <c:pt idx="7">
                  <c:v>Sales</c:v>
                </c:pt>
              </c:strCache>
            </c:strRef>
          </c:cat>
          <c:val>
            <c:numRef>
              <c:f>'Department Summary'!$C$4:$C$12</c:f>
              <c:numCache>
                <c:formatCode>General</c:formatCode>
                <c:ptCount val="8"/>
                <c:pt idx="0">
                  <c:v>3959066.5</c:v>
                </c:pt>
                <c:pt idx="1">
                  <c:v>3884005.47</c:v>
                </c:pt>
                <c:pt idx="2">
                  <c:v>3799827.03</c:v>
                </c:pt>
                <c:pt idx="3">
                  <c:v>3848448.05</c:v>
                </c:pt>
                <c:pt idx="4">
                  <c:v>3781562.1399999997</c:v>
                </c:pt>
                <c:pt idx="5">
                  <c:v>3904558.3200000003</c:v>
                </c:pt>
                <c:pt idx="6">
                  <c:v>4246537.74</c:v>
                </c:pt>
                <c:pt idx="7">
                  <c:v>3692950.6399999997</c:v>
                </c:pt>
              </c:numCache>
            </c:numRef>
          </c:val>
        </c:ser>
        <c:dLbls>
          <c:showLegendKey val="0"/>
          <c:showVal val="0"/>
          <c:showCatName val="0"/>
          <c:showSerName val="0"/>
          <c:showPercent val="0"/>
          <c:showBubbleSize val="0"/>
        </c:dLbls>
        <c:gapWidth val="219"/>
        <c:overlap val="-27"/>
        <c:axId val="-494171072"/>
        <c:axId val="-494157472"/>
      </c:barChart>
      <c:catAx>
        <c:axId val="-49417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157472"/>
        <c:crosses val="autoZero"/>
        <c:auto val="1"/>
        <c:lblAlgn val="ctr"/>
        <c:lblOffset val="100"/>
        <c:noMultiLvlLbl val="0"/>
      </c:catAx>
      <c:valAx>
        <c:axId val="-494157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1710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[Company_Expense_Budget_Analysis.xlsx]Monthly Summary!PivotTable2</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Monthly</a:t>
            </a:r>
            <a:r>
              <a:rPr lang="en-IN" b="1" baseline="0"/>
              <a:t> Actual Expense Trend</a:t>
            </a:r>
            <a:endParaRPr lang="en-IN"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'Monthly Summary'!$B$3</c:f>
              <c:strCache>
                <c:ptCount val="1"/>
                <c:pt idx="0">
                  <c:v>Total</c:v>
                </c:pt>
              </c:strCache>
            </c:strRef>
          </c:tx>
          <c:spPr>
            <a:ln w="28575" cap="rnd">
              <a:solidFill>
                <a:schemeClr val="accent1"/>
              </a:solidFill>
              <a:round/>
            </a:ln>
            <a:effectLst/>
          </c:spPr>
          <c:marker>
            <c:symbol val="none"/>
          </c:marker>
          <c:cat>
            <c:strRef>
              <c:f>'Monthly Summary'!$A$4:$A$16</c:f>
              <c:strCache>
                <c:ptCount val="12"/>
                <c:pt idx="0">
                  <c:v>01-01-2025</c:v>
                </c:pt>
                <c:pt idx="1">
                  <c:v>01-02-2025</c:v>
                </c:pt>
                <c:pt idx="2">
                  <c:v>01-03-2025</c:v>
                </c:pt>
                <c:pt idx="3">
                  <c:v>01-04-2025</c:v>
                </c:pt>
                <c:pt idx="4">
                  <c:v>01-05-2025</c:v>
                </c:pt>
                <c:pt idx="5">
                  <c:v>01-06-2025</c:v>
                </c:pt>
                <c:pt idx="6">
                  <c:v>01-07-2025</c:v>
                </c:pt>
                <c:pt idx="7">
                  <c:v>01-08-2025</c:v>
                </c:pt>
                <c:pt idx="8">
                  <c:v>01-09-2025</c:v>
                </c:pt>
                <c:pt idx="9">
                  <c:v>01-10-2025</c:v>
                </c:pt>
                <c:pt idx="10">
                  <c:v>01-11-2025</c:v>
                </c:pt>
                <c:pt idx="11">
                  <c:v>01-12-2025</c:v>
                </c:pt>
              </c:strCache>
            </c:strRef>
          </c:cat>
          <c:val>
            <c:numRef>
              <c:f>'Monthly Summary'!$B$4:$B$16</c:f>
              <c:numCache>
                <c:formatCode>General</c:formatCode>
                <c:ptCount val="12"/>
                <c:pt idx="0">
                  <c:v>2353473.21</c:v>
                </c:pt>
                <c:pt idx="1">
                  <c:v>2696381.5</c:v>
                </c:pt>
                <c:pt idx="2">
                  <c:v>2513143.0100000002</c:v>
                </c:pt>
                <c:pt idx="3">
                  <c:v>2591311.7400000002</c:v>
                </c:pt>
                <c:pt idx="4">
                  <c:v>2909515.65</c:v>
                </c:pt>
                <c:pt idx="5">
                  <c:v>2631083.29</c:v>
                </c:pt>
                <c:pt idx="6">
                  <c:v>2787106.1900000004</c:v>
                </c:pt>
                <c:pt idx="7">
                  <c:v>2442748.87</c:v>
                </c:pt>
                <c:pt idx="8">
                  <c:v>2589374.69</c:v>
                </c:pt>
                <c:pt idx="9">
                  <c:v>2406358.8199999998</c:v>
                </c:pt>
                <c:pt idx="10">
                  <c:v>2531393.6799999997</c:v>
                </c:pt>
                <c:pt idx="11">
                  <c:v>2665065.2399999998</c:v>
                </c:pt>
              </c:numCache>
            </c:numRef>
          </c:val>
          <c:smooth val="0"/>
        </c:ser>
        <c:dLbls>
          <c:showLegendKey val="0"/>
          <c:showVal val="0"/>
          <c:showCatName val="0"/>
          <c:showSerName val="0"/>
          <c:showPercent val="0"/>
          <c:showBubbleSize val="0"/>
        </c:dLbls>
        <c:smooth val="0"/>
        <c:axId val="-494168896"/>
        <c:axId val="-494169984"/>
      </c:lineChart>
      <c:catAx>
        <c:axId val="-49416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169984"/>
        <c:crosses val="autoZero"/>
        <c:auto val="1"/>
        <c:lblAlgn val="ctr"/>
        <c:lblOffset val="100"/>
        <c:noMultiLvlLbl val="0"/>
      </c:catAx>
      <c:valAx>
        <c:axId val="-494169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1688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[Company_Expense_Budget_Analysis.xlsx]Department Summary (variance)!PivotTable7</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Variance</a:t>
            </a:r>
            <a:r>
              <a:rPr lang="en-US" b="1" baseline="0"/>
              <a:t> by Department</a:t>
            </a:r>
            <a:endParaRPr lang="en-US"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manualLayout>
          <c:layoutTarget val="inner"/>
          <c:xMode val="edge"/>
          <c:yMode val="edge"/>
          <c:x val="0.11121907653525638"/>
          <c:y val="0.30841386890701755"/>
          <c:w val="0.72813648293963251"/>
          <c:h val="0.58139253426655002"/>
        </c:manualLayout>
      </c:layout>
      <c:barChart>
        <c:barDir val="col"/>
        <c:grouping val="clustered"/>
        <c:varyColors val="0"/>
        <c:ser>
          <c:idx val="0"/>
          <c:order val="0"/>
          <c:tx>
            <c:strRef>
              <c:f>'Department Summary (variance)'!$B$3</c:f>
              <c:strCache>
                <c:ptCount val="1"/>
                <c:pt idx="0">
                  <c:v>Total</c:v>
                </c:pt>
              </c:strCache>
            </c:strRef>
          </c:tx>
          <c:spPr>
            <a:solidFill>
              <a:schemeClr val="accent1"/>
            </a:solidFill>
            <a:ln>
              <a:noFill/>
            </a:ln>
            <a:effectLst/>
          </c:spPr>
          <c:invertIfNegative val="0"/>
          <c:cat>
            <c:strRef>
              <c:f>'Department Summary (variance)'!$A$4:$A$12</c:f>
              <c:strCache>
                <c:ptCount val="8"/>
                <c:pt idx="0">
                  <c:v>Customer Success</c:v>
                </c:pt>
                <c:pt idx="1">
                  <c:v>Finance</c:v>
                </c:pt>
                <c:pt idx="2">
                  <c:v>HR</c:v>
                </c:pt>
                <c:pt idx="3">
                  <c:v>IT</c:v>
                </c:pt>
                <c:pt idx="4">
                  <c:v>Marketing</c:v>
                </c:pt>
                <c:pt idx="5">
                  <c:v>Operations</c:v>
                </c:pt>
                <c:pt idx="6">
                  <c:v>R&amp;D</c:v>
                </c:pt>
                <c:pt idx="7">
                  <c:v>Sales</c:v>
                </c:pt>
              </c:strCache>
            </c:strRef>
          </c:cat>
          <c:val>
            <c:numRef>
              <c:f>'Department Summary (variance)'!$B$4:$B$12</c:f>
              <c:numCache>
                <c:formatCode>General</c:formatCode>
                <c:ptCount val="8"/>
                <c:pt idx="0">
                  <c:v>101315.35</c:v>
                </c:pt>
                <c:pt idx="1">
                  <c:v>-37548.509999999995</c:v>
                </c:pt>
                <c:pt idx="2">
                  <c:v>-14769.680000000004</c:v>
                </c:pt>
                <c:pt idx="3">
                  <c:v>-29558.310000000012</c:v>
                </c:pt>
                <c:pt idx="4">
                  <c:v>104353.01</c:v>
                </c:pt>
                <c:pt idx="5">
                  <c:v>-76631.89999999998</c:v>
                </c:pt>
                <c:pt idx="6">
                  <c:v>5119.0099999999966</c:v>
                </c:pt>
                <c:pt idx="7">
                  <c:v>11954.11</c:v>
                </c:pt>
              </c:numCache>
            </c:numRef>
          </c:val>
        </c:ser>
        <c:dLbls>
          <c:showLegendKey val="0"/>
          <c:showVal val="0"/>
          <c:showCatName val="0"/>
          <c:showSerName val="0"/>
          <c:showPercent val="0"/>
          <c:showBubbleSize val="0"/>
        </c:dLbls>
        <c:gapWidth val="219"/>
        <c:overlap val="-27"/>
        <c:axId val="-494164544"/>
        <c:axId val="-494163456"/>
      </c:barChart>
      <c:catAx>
        <c:axId val="-494164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163456"/>
        <c:crosses val="autoZero"/>
        <c:auto val="1"/>
        <c:lblAlgn val="ctr"/>
        <c:lblOffset val="100"/>
        <c:noMultiLvlLbl val="0"/>
      </c:catAx>
      <c:valAx>
        <c:axId val="-494163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1645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[Company_Expense_Budget_Analysis.xlsx]Department Summary (variance)!PivotTable7</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Department</a:t>
            </a:r>
            <a:r>
              <a:rPr lang="en-US" b="1" baseline="0"/>
              <a:t> - Wise Variance </a:t>
            </a:r>
            <a:endParaRPr lang="en-US" b="1"/>
          </a:p>
        </c:rich>
      </c:tx>
      <c:layout>
        <c:manualLayout>
          <c:xMode val="edge"/>
          <c:yMode val="edge"/>
          <c:x val="0.24395715938351306"/>
          <c:y val="4.856377142651582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'Department Summary (variance)'!$B$3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'Department Summary (variance)'!$A$4:$A$12</c:f>
              <c:strCache>
                <c:ptCount val="8"/>
                <c:pt idx="0">
                  <c:v>Customer Success</c:v>
                </c:pt>
                <c:pt idx="1">
                  <c:v>Finance</c:v>
                </c:pt>
                <c:pt idx="2">
                  <c:v>HR</c:v>
                </c:pt>
                <c:pt idx="3">
                  <c:v>IT</c:v>
                </c:pt>
                <c:pt idx="4">
                  <c:v>Marketing</c:v>
                </c:pt>
                <c:pt idx="5">
                  <c:v>Operations</c:v>
                </c:pt>
                <c:pt idx="6">
                  <c:v>R&amp;D</c:v>
                </c:pt>
                <c:pt idx="7">
                  <c:v>Sales</c:v>
                </c:pt>
              </c:strCache>
            </c:strRef>
          </c:cat>
          <c:val>
            <c:numRef>
              <c:f>'Department Summary (variance)'!$B$4:$B$12</c:f>
              <c:numCache>
                <c:formatCode>General</c:formatCode>
                <c:ptCount val="8"/>
                <c:pt idx="0">
                  <c:v>101315.35</c:v>
                </c:pt>
                <c:pt idx="1">
                  <c:v>-37548.509999999995</c:v>
                </c:pt>
                <c:pt idx="2">
                  <c:v>-14769.680000000004</c:v>
                </c:pt>
                <c:pt idx="3">
                  <c:v>-29558.310000000012</c:v>
                </c:pt>
                <c:pt idx="4">
                  <c:v>104353.01</c:v>
                </c:pt>
                <c:pt idx="5">
                  <c:v>-76631.89999999998</c:v>
                </c:pt>
                <c:pt idx="6">
                  <c:v>5119.0099999999966</c:v>
                </c:pt>
                <c:pt idx="7">
                  <c:v>11954.11</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0666517396225947"/>
          <c:y val="0.31648485881706162"/>
          <c:w val="0.26173923295049112"/>
          <c:h val="0.574948523184313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[Company_Expense_Budget_Analysis.xlsx]Monthly Summary!PivotTable2</c:name>
    <c:fmtId val="6"/>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s>
    <c:plotArea>
      <c:layout/>
      <c:pieChart>
        <c:varyColors val="1"/>
        <c:ser>
          <c:idx val="0"/>
          <c:order val="0"/>
          <c:tx>
            <c:strRef>
              <c:f>'Monthly Summary'!$B$3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cat>
            <c:strRef>
              <c:f>'Monthly Summary'!$A$4:$A$16</c:f>
              <c:strCache>
                <c:ptCount val="12"/>
                <c:pt idx="0">
                  <c:v>01-01-2025</c:v>
                </c:pt>
                <c:pt idx="1">
                  <c:v>01-02-2025</c:v>
                </c:pt>
                <c:pt idx="2">
                  <c:v>01-03-2025</c:v>
                </c:pt>
                <c:pt idx="3">
                  <c:v>01-04-2025</c:v>
                </c:pt>
                <c:pt idx="4">
                  <c:v>01-05-2025</c:v>
                </c:pt>
                <c:pt idx="5">
                  <c:v>01-06-2025</c:v>
                </c:pt>
                <c:pt idx="6">
                  <c:v>01-07-2025</c:v>
                </c:pt>
                <c:pt idx="7">
                  <c:v>01-08-2025</c:v>
                </c:pt>
                <c:pt idx="8">
                  <c:v>01-09-2025</c:v>
                </c:pt>
                <c:pt idx="9">
                  <c:v>01-10-2025</c:v>
                </c:pt>
                <c:pt idx="10">
                  <c:v>01-11-2025</c:v>
                </c:pt>
                <c:pt idx="11">
                  <c:v>01-12-2025</c:v>
                </c:pt>
              </c:strCache>
            </c:strRef>
          </c:cat>
          <c:val>
            <c:numRef>
              <c:f>'Monthly Summary'!$B$4:$B$16</c:f>
              <c:numCache>
                <c:formatCode>General</c:formatCode>
                <c:ptCount val="12"/>
                <c:pt idx="0">
                  <c:v>2353473.21</c:v>
                </c:pt>
                <c:pt idx="1">
                  <c:v>2696381.5</c:v>
                </c:pt>
                <c:pt idx="2">
                  <c:v>2513143.0100000002</c:v>
                </c:pt>
                <c:pt idx="3">
                  <c:v>2591311.7400000002</c:v>
                </c:pt>
                <c:pt idx="4">
                  <c:v>2909515.65</c:v>
                </c:pt>
                <c:pt idx="5">
                  <c:v>2631083.29</c:v>
                </c:pt>
                <c:pt idx="6">
                  <c:v>2787106.1900000004</c:v>
                </c:pt>
                <c:pt idx="7">
                  <c:v>2442748.87</c:v>
                </c:pt>
                <c:pt idx="8">
                  <c:v>2589374.69</c:v>
                </c:pt>
                <c:pt idx="9">
                  <c:v>2406358.8199999998</c:v>
                </c:pt>
                <c:pt idx="10">
                  <c:v>2531393.6799999997</c:v>
                </c:pt>
                <c:pt idx="11">
                  <c:v>2665065.2399999998</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28575</xdr:colOff>
      <xdr:row>9</xdr:row>
      <xdr:rowOff>184662</xdr:rowOff>
    </xdr:from>
    <xdr:to>
      <xdr:col>7</xdr:col>
      <xdr:colOff>338291</xdr:colOff>
      <xdr:row>26</xdr:row>
      <xdr:rowOff>180975</xdr:rowOff>
    </xdr:to>
    <xdr:graphicFrame macro="">
      <xdr:nvGraphicFramePr>
        <xdr:cNvPr id="2"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10703</xdr:colOff>
      <xdr:row>10</xdr:row>
      <xdr:rowOff>0</xdr:rowOff>
    </xdr:from>
    <xdr:to>
      <xdr:col>18</xdr:col>
      <xdr:colOff>438793</xdr:colOff>
      <xdr:row>26</xdr:row>
      <xdr:rowOff>160534</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18240</xdr:colOff>
      <xdr:row>28</xdr:row>
      <xdr:rowOff>174958</xdr:rowOff>
    </xdr:from>
    <xdr:to>
      <xdr:col>7</xdr:col>
      <xdr:colOff>318123</xdr:colOff>
      <xdr:row>45</xdr:row>
      <xdr:rowOff>178340</xdr:rowOff>
    </xdr:to>
    <xdr:graphicFrame macro="">
      <xdr:nvGraphicFramePr>
        <xdr:cNvPr id="4"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xdr:colOff>
      <xdr:row>0</xdr:row>
      <xdr:rowOff>49609</xdr:rowOff>
    </xdr:from>
    <xdr:to>
      <xdr:col>22</xdr:col>
      <xdr:colOff>4328</xdr:colOff>
      <xdr:row>2</xdr:row>
      <xdr:rowOff>133350</xdr:rowOff>
    </xdr:to>
    <xdr:sp macro="" textlink="">
      <xdr:nvSpPr>
        <xdr:cNvPr id="11" name="Rounded Rectangle 10"/>
        <xdr:cNvSpPr/>
      </xdr:nvSpPr>
      <xdr:spPr>
        <a:xfrm>
          <a:off x="605235" y="49609"/>
          <a:ext cx="11047374" cy="46077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chemeClr val="tx1"/>
              </a:solidFill>
            </a:rPr>
            <a:t>                                           Company Expenses &amp; Budget</a:t>
          </a:r>
          <a:r>
            <a:rPr lang="en-IN" sz="2400" b="1" baseline="0">
              <a:solidFill>
                <a:schemeClr val="tx1"/>
              </a:solidFill>
            </a:rPr>
            <a:t> Analysis</a:t>
          </a:r>
          <a:endParaRPr lang="en-IN" sz="2400" b="1">
            <a:solidFill>
              <a:schemeClr val="tx1"/>
            </a:solidFill>
          </a:endParaRPr>
        </a:p>
      </xdr:txBody>
    </xdr:sp>
    <xdr:clientData/>
  </xdr:twoCellAnchor>
  <xdr:twoCellAnchor>
    <xdr:from>
      <xdr:col>4</xdr:col>
      <xdr:colOff>304800</xdr:colOff>
      <xdr:row>3</xdr:row>
      <xdr:rowOff>186814</xdr:rowOff>
    </xdr:from>
    <xdr:to>
      <xdr:col>8</xdr:col>
      <xdr:colOff>227679</xdr:colOff>
      <xdr:row>7</xdr:row>
      <xdr:rowOff>173909</xdr:rowOff>
    </xdr:to>
    <xdr:sp macro="" textlink="">
      <xdr:nvSpPr>
        <xdr:cNvPr id="18" name="Rectangle 17"/>
        <xdr:cNvSpPr/>
      </xdr:nvSpPr>
      <xdr:spPr>
        <a:xfrm>
          <a:off x="2743200" y="758314"/>
          <a:ext cx="2361279" cy="74909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rPr>
            <a:t>      TOTAL ACTUAL</a:t>
          </a:r>
        </a:p>
        <a:p>
          <a:pPr algn="l"/>
          <a:r>
            <a:rPr lang="en-IN" sz="2000" b="1">
              <a:solidFill>
                <a:schemeClr val="tx1"/>
              </a:solidFill>
            </a:rPr>
            <a:t>            31.12</a:t>
          </a:r>
          <a:r>
            <a:rPr lang="en-IN" sz="2000" b="1" baseline="0">
              <a:solidFill>
                <a:schemeClr val="tx1"/>
              </a:solidFill>
            </a:rPr>
            <a:t> M</a:t>
          </a:r>
          <a:endParaRPr lang="en-IN" sz="2000" b="1">
            <a:solidFill>
              <a:schemeClr val="tx1"/>
            </a:solidFill>
          </a:endParaRPr>
        </a:p>
      </xdr:txBody>
    </xdr:sp>
    <xdr:clientData/>
  </xdr:twoCellAnchor>
  <xdr:twoCellAnchor>
    <xdr:from>
      <xdr:col>8</xdr:col>
      <xdr:colOff>488540</xdr:colOff>
      <xdr:row>4</xdr:row>
      <xdr:rowOff>9526</xdr:rowOff>
    </xdr:from>
    <xdr:to>
      <xdr:col>15</xdr:col>
      <xdr:colOff>1038226</xdr:colOff>
      <xdr:row>7</xdr:row>
      <xdr:rowOff>171451</xdr:rowOff>
    </xdr:to>
    <xdr:sp macro="" textlink="">
      <xdr:nvSpPr>
        <xdr:cNvPr id="19" name="Rectangle 18"/>
        <xdr:cNvSpPr/>
      </xdr:nvSpPr>
      <xdr:spPr>
        <a:xfrm>
          <a:off x="5365340" y="771526"/>
          <a:ext cx="2378486" cy="73342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rPr>
            <a:t>   TOTAL VARIANCE</a:t>
          </a:r>
        </a:p>
        <a:p>
          <a:pPr algn="l"/>
          <a:r>
            <a:rPr lang="en-IN" sz="2000" b="1">
              <a:solidFill>
                <a:schemeClr val="tx1"/>
              </a:solidFill>
            </a:rPr>
            <a:t>          62.04 M</a:t>
          </a:r>
        </a:p>
      </xdr:txBody>
    </xdr:sp>
    <xdr:clientData/>
  </xdr:twoCellAnchor>
  <xdr:twoCellAnchor>
    <xdr:from>
      <xdr:col>0</xdr:col>
      <xdr:colOff>8603</xdr:colOff>
      <xdr:row>3</xdr:row>
      <xdr:rowOff>188041</xdr:rowOff>
    </xdr:from>
    <xdr:to>
      <xdr:col>4</xdr:col>
      <xdr:colOff>7988</xdr:colOff>
      <xdr:row>7</xdr:row>
      <xdr:rowOff>174522</xdr:rowOff>
    </xdr:to>
    <xdr:sp macro="" textlink="">
      <xdr:nvSpPr>
        <xdr:cNvPr id="25" name="Rectangle 24"/>
        <xdr:cNvSpPr/>
      </xdr:nvSpPr>
      <xdr:spPr>
        <a:xfrm>
          <a:off x="8603" y="759541"/>
          <a:ext cx="2437785" cy="748481"/>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rPr>
            <a:t>      TOTAL BUDGET</a:t>
          </a:r>
        </a:p>
        <a:p>
          <a:pPr algn="l"/>
          <a:r>
            <a:rPr lang="en-IN" sz="2000" b="1">
              <a:solidFill>
                <a:schemeClr val="tx1"/>
              </a:solidFill>
            </a:rPr>
            <a:t>            93.16 M</a:t>
          </a:r>
        </a:p>
      </xdr:txBody>
    </xdr:sp>
    <xdr:clientData/>
  </xdr:twoCellAnchor>
  <xdr:twoCellAnchor editAs="oneCell">
    <xdr:from>
      <xdr:col>2</xdr:col>
      <xdr:colOff>311727</xdr:colOff>
      <xdr:row>50</xdr:row>
      <xdr:rowOff>13628</xdr:rowOff>
    </xdr:from>
    <xdr:to>
      <xdr:col>16</xdr:col>
      <xdr:colOff>520093</xdr:colOff>
      <xdr:row>68</xdr:row>
      <xdr:rowOff>28991</xdr:rowOff>
    </xdr:to>
    <xdr:pic>
      <xdr:nvPicPr>
        <xdr:cNvPr id="27" name="Picture 2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524000" y="9538628"/>
          <a:ext cx="7051573" cy="34443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1352550</xdr:colOff>
      <xdr:row>3</xdr:row>
      <xdr:rowOff>180975</xdr:rowOff>
    </xdr:from>
    <xdr:to>
      <xdr:col>19</xdr:col>
      <xdr:colOff>457200</xdr:colOff>
      <xdr:row>7</xdr:row>
      <xdr:rowOff>161925</xdr:rowOff>
    </xdr:to>
    <xdr:sp macro="" textlink="">
      <xdr:nvSpPr>
        <xdr:cNvPr id="28" name="Rectangle 27"/>
        <xdr:cNvSpPr/>
      </xdr:nvSpPr>
      <xdr:spPr>
        <a:xfrm>
          <a:off x="8058150" y="752475"/>
          <a:ext cx="2295525" cy="74295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rPr>
            <a:t>       VARIANCE %</a:t>
          </a:r>
        </a:p>
        <a:p>
          <a:pPr algn="l"/>
          <a:r>
            <a:rPr lang="en-IN" sz="2000" b="1">
              <a:solidFill>
                <a:schemeClr val="tx1"/>
              </a:solidFill>
            </a:rPr>
            <a:t>            66.6%</a:t>
          </a:r>
        </a:p>
      </xdr:txBody>
    </xdr:sp>
    <xdr:clientData/>
  </xdr:twoCellAnchor>
  <xdr:twoCellAnchor>
    <xdr:from>
      <xdr:col>19</xdr:col>
      <xdr:colOff>209551</xdr:colOff>
      <xdr:row>7</xdr:row>
      <xdr:rowOff>38100</xdr:rowOff>
    </xdr:from>
    <xdr:to>
      <xdr:col>19</xdr:col>
      <xdr:colOff>438151</xdr:colOff>
      <xdr:row>7</xdr:row>
      <xdr:rowOff>152400</xdr:rowOff>
    </xdr:to>
    <xdr:sp macro="" textlink="">
      <xdr:nvSpPr>
        <xdr:cNvPr id="30" name="Isosceles Triangle 29"/>
        <xdr:cNvSpPr/>
      </xdr:nvSpPr>
      <xdr:spPr>
        <a:xfrm>
          <a:off x="10106026" y="1371600"/>
          <a:ext cx="228600" cy="114300"/>
        </a:xfrm>
        <a:prstGeom prst="triangle">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818841</xdr:colOff>
      <xdr:row>7</xdr:row>
      <xdr:rowOff>23045</xdr:rowOff>
    </xdr:from>
    <xdr:to>
      <xdr:col>15</xdr:col>
      <xdr:colOff>1037916</xdr:colOff>
      <xdr:row>7</xdr:row>
      <xdr:rowOff>156395</xdr:rowOff>
    </xdr:to>
    <xdr:sp macro="" textlink="">
      <xdr:nvSpPr>
        <xdr:cNvPr id="31" name="Isosceles Triangle 30"/>
        <xdr:cNvSpPr/>
      </xdr:nvSpPr>
      <xdr:spPr>
        <a:xfrm>
          <a:off x="7524441" y="1356545"/>
          <a:ext cx="219075" cy="133350"/>
        </a:xfrm>
        <a:prstGeom prst="triangle">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18</xdr:col>
      <xdr:colOff>601057</xdr:colOff>
      <xdr:row>12</xdr:row>
      <xdr:rowOff>7210</xdr:rowOff>
    </xdr:from>
    <xdr:to>
      <xdr:col>21</xdr:col>
      <xdr:colOff>601057</xdr:colOff>
      <xdr:row>25</xdr:row>
      <xdr:rowOff>56976</xdr:rowOff>
    </xdr:to>
    <mc:AlternateContent xmlns:mc="http://schemas.openxmlformats.org/markup-compatibility/2006">
      <mc:Choice xmlns:a14="http://schemas.microsoft.com/office/drawing/2010/main" Requires="a14">
        <xdr:graphicFrame macro="">
          <xdr:nvGraphicFramePr>
            <xdr:cNvPr id="32" name="Department 1"/>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9848245" y="2269398"/>
              <a:ext cx="1815703" cy="25004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11451</xdr:colOff>
      <xdr:row>27</xdr:row>
      <xdr:rowOff>165768</xdr:rowOff>
    </xdr:from>
    <xdr:to>
      <xdr:col>22</xdr:col>
      <xdr:colOff>26167</xdr:colOff>
      <xdr:row>41</xdr:row>
      <xdr:rowOff>20753</xdr:rowOff>
    </xdr:to>
    <mc:AlternateContent xmlns:mc="http://schemas.openxmlformats.org/markup-compatibility/2006">
      <mc:Choice xmlns:a14="http://schemas.microsoft.com/office/drawing/2010/main" Requires="a14">
        <xdr:graphicFrame macro="">
          <xdr:nvGraphicFramePr>
            <xdr:cNvPr id="33" name="Month 1"/>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9863873" y="5255690"/>
              <a:ext cx="1830419" cy="24942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609407</xdr:colOff>
      <xdr:row>28</xdr:row>
      <xdr:rowOff>187971</xdr:rowOff>
    </xdr:from>
    <xdr:to>
      <xdr:col>18</xdr:col>
      <xdr:colOff>406685</xdr:colOff>
      <xdr:row>46</xdr:row>
      <xdr:rowOff>10702</xdr:rowOff>
    </xdr:to>
    <xdr:graphicFrame macro="">
      <xdr:nvGraphicFramePr>
        <xdr:cNvPr id="3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114300</xdr:colOff>
      <xdr:row>24</xdr:row>
      <xdr:rowOff>71437</xdr:rowOff>
    </xdr:from>
    <xdr:to>
      <xdr:col>13</xdr:col>
      <xdr:colOff>419100</xdr:colOff>
      <xdr:row>38</xdr:row>
      <xdr:rowOff>147637</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19050</xdr:colOff>
      <xdr:row>14</xdr:row>
      <xdr:rowOff>180975</xdr:rowOff>
    </xdr:from>
    <xdr:to>
      <xdr:col>3</xdr:col>
      <xdr:colOff>600075</xdr:colOff>
      <xdr:row>18</xdr:row>
      <xdr:rowOff>152400</xdr:rowOff>
    </xdr:to>
    <xdr:sp macro="" textlink="">
      <xdr:nvSpPr>
        <xdr:cNvPr id="27" name="Rectangle 26"/>
        <xdr:cNvSpPr/>
      </xdr:nvSpPr>
      <xdr:spPr>
        <a:xfrm>
          <a:off x="19050" y="2800350"/>
          <a:ext cx="2409825" cy="73342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rPr>
            <a:t>   TOTAL VARIANCE</a:t>
          </a:r>
        </a:p>
        <a:p>
          <a:pPr algn="l"/>
          <a:r>
            <a:rPr lang="en-IN" sz="2000" b="1">
              <a:solidFill>
                <a:schemeClr val="tx1"/>
              </a:solidFill>
            </a:rPr>
            <a:t>          62.04 M</a:t>
          </a:r>
        </a:p>
      </xdr:txBody>
    </xdr:sp>
    <xdr:clientData/>
  </xdr:twoCellAnchor>
  <xdr:twoCellAnchor>
    <xdr:from>
      <xdr:col>0</xdr:col>
      <xdr:colOff>19050</xdr:colOff>
      <xdr:row>6</xdr:row>
      <xdr:rowOff>19050</xdr:rowOff>
    </xdr:from>
    <xdr:to>
      <xdr:col>4</xdr:col>
      <xdr:colOff>9525</xdr:colOff>
      <xdr:row>9</xdr:row>
      <xdr:rowOff>47625</xdr:rowOff>
    </xdr:to>
    <xdr:sp macro="" textlink="">
      <xdr:nvSpPr>
        <xdr:cNvPr id="28" name="Rectangle 27"/>
        <xdr:cNvSpPr/>
      </xdr:nvSpPr>
      <xdr:spPr>
        <a:xfrm>
          <a:off x="19050" y="971550"/>
          <a:ext cx="2428875" cy="74295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rPr>
            <a:t>       VARIANCE %</a:t>
          </a:r>
        </a:p>
        <a:p>
          <a:pPr algn="l"/>
          <a:r>
            <a:rPr lang="en-IN" sz="2000" b="1">
              <a:solidFill>
                <a:schemeClr val="tx1"/>
              </a:solidFill>
            </a:rPr>
            <a:t>            66.6%</a:t>
          </a:r>
        </a:p>
      </xdr:txBody>
    </xdr:sp>
    <xdr:clientData/>
  </xdr:twoCellAnchor>
  <xdr:twoCellAnchor>
    <xdr:from>
      <xdr:col>0</xdr:col>
      <xdr:colOff>19050</xdr:colOff>
      <xdr:row>10</xdr:row>
      <xdr:rowOff>9525</xdr:rowOff>
    </xdr:from>
    <xdr:to>
      <xdr:col>4</xdr:col>
      <xdr:colOff>28575</xdr:colOff>
      <xdr:row>13</xdr:row>
      <xdr:rowOff>180975</xdr:rowOff>
    </xdr:to>
    <xdr:sp macro="" textlink="">
      <xdr:nvSpPr>
        <xdr:cNvPr id="29" name="Rectangle 28"/>
        <xdr:cNvSpPr/>
      </xdr:nvSpPr>
      <xdr:spPr>
        <a:xfrm>
          <a:off x="19050" y="1866900"/>
          <a:ext cx="2447925" cy="74295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rPr>
            <a:t>      TOTAL ACTUAL</a:t>
          </a:r>
        </a:p>
        <a:p>
          <a:pPr algn="l"/>
          <a:r>
            <a:rPr lang="en-IN" sz="2000" b="1">
              <a:solidFill>
                <a:schemeClr val="tx1"/>
              </a:solidFill>
            </a:rPr>
            <a:t>            31.12</a:t>
          </a:r>
          <a:r>
            <a:rPr lang="en-IN" sz="2000" b="1" baseline="0">
              <a:solidFill>
                <a:schemeClr val="tx1"/>
              </a:solidFill>
            </a:rPr>
            <a:t> M</a:t>
          </a:r>
          <a:endParaRPr lang="en-IN" sz="2000" b="1">
            <a:solidFill>
              <a:schemeClr val="tx1"/>
            </a:solidFill>
          </a:endParaRPr>
        </a:p>
      </xdr:txBody>
    </xdr:sp>
    <xdr:clientData/>
  </xdr:twoCellAnchor>
  <xdr:twoCellAnchor>
    <xdr:from>
      <xdr:col>3</xdr:col>
      <xdr:colOff>381000</xdr:colOff>
      <xdr:row>18</xdr:row>
      <xdr:rowOff>19050</xdr:rowOff>
    </xdr:from>
    <xdr:to>
      <xdr:col>3</xdr:col>
      <xdr:colOff>600075</xdr:colOff>
      <xdr:row>18</xdr:row>
      <xdr:rowOff>152400</xdr:rowOff>
    </xdr:to>
    <xdr:sp macro="" textlink="">
      <xdr:nvSpPr>
        <xdr:cNvPr id="33" name="Isosceles Triangle 32"/>
        <xdr:cNvSpPr/>
      </xdr:nvSpPr>
      <xdr:spPr>
        <a:xfrm>
          <a:off x="2209800" y="3400425"/>
          <a:ext cx="219075" cy="133350"/>
        </a:xfrm>
        <a:prstGeom prst="triangle">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409575</xdr:colOff>
      <xdr:row>8</xdr:row>
      <xdr:rowOff>247650</xdr:rowOff>
    </xdr:from>
    <xdr:to>
      <xdr:col>4</xdr:col>
      <xdr:colOff>19050</xdr:colOff>
      <xdr:row>9</xdr:row>
      <xdr:rowOff>47625</xdr:rowOff>
    </xdr:to>
    <xdr:sp macro="" textlink="">
      <xdr:nvSpPr>
        <xdr:cNvPr id="34" name="Isosceles Triangle 33"/>
        <xdr:cNvSpPr/>
      </xdr:nvSpPr>
      <xdr:spPr>
        <a:xfrm>
          <a:off x="2238375" y="1581150"/>
          <a:ext cx="219075" cy="133350"/>
        </a:xfrm>
        <a:prstGeom prst="triangle">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4</xdr:col>
      <xdr:colOff>19050</xdr:colOff>
      <xdr:row>4</xdr:row>
      <xdr:rowOff>152400</xdr:rowOff>
    </xdr:to>
    <xdr:sp macro="" textlink="">
      <xdr:nvSpPr>
        <xdr:cNvPr id="36" name="Rectangle 35"/>
        <xdr:cNvSpPr/>
      </xdr:nvSpPr>
      <xdr:spPr>
        <a:xfrm>
          <a:off x="0" y="0"/>
          <a:ext cx="2457450" cy="72390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rPr>
            <a:t>      TOTAL BUDGET</a:t>
          </a:r>
        </a:p>
        <a:p>
          <a:pPr algn="l"/>
          <a:r>
            <a:rPr lang="en-IN" sz="2000" b="1">
              <a:solidFill>
                <a:schemeClr val="tx1"/>
              </a:solidFill>
            </a:rPr>
            <a:t>            93.16 M</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HIVA" refreshedDate="46038.754796064815" createdVersion="5" refreshedVersion="5" minRefreshableVersion="3" recordCount="96">
  <cacheSource type="worksheet">
    <worksheetSource name="Table1"/>
  </cacheSource>
  <cacheFields count="9">
    <cacheField name="Department" numFmtId="0">
      <sharedItems count="8">
        <s v="IT"/>
        <s v="HR"/>
        <s v="Sales"/>
        <s v="Marketing"/>
        <s v="Finance"/>
        <s v="Operations"/>
        <s v="Customer Success"/>
        <s v="R&amp;D"/>
      </sharedItems>
    </cacheField>
    <cacheField name="Month" numFmtId="14">
      <sharedItems containsSemiMixedTypes="0" containsNonDate="0" containsDate="1" containsString="0" minDate="2025-01-01T00:00:00" maxDate="2025-12-02T00:00:00" count="12">
        <d v="2025-01-01T00:00:00"/>
        <d v="2025-02-01T00:00:00"/>
        <d v="2025-03-01T00:00:00"/>
        <d v="2025-04-01T00:00:00"/>
        <d v="2025-05-01T00:00:00"/>
        <d v="2025-06-01T00:00:00"/>
        <d v="2025-07-01T00:00:00"/>
        <d v="2025-08-01T00:00:00"/>
        <d v="2025-09-01T00:00:00"/>
        <d v="2025-10-01T00:00:00"/>
        <d v="2025-11-01T00:00:00"/>
        <d v="2025-12-01T00:00:00"/>
      </sharedItems>
    </cacheField>
    <cacheField name="Budget" numFmtId="0">
      <sharedItems containsSemiMixedTypes="0" containsString="0" containsNumber="1" minValue="250828.32" maxValue="398508.08"/>
    </cacheField>
    <cacheField name="Actual" numFmtId="0">
      <sharedItems containsSemiMixedTypes="0" containsString="0" containsNumber="1" minValue="241238.53" maxValue="428869.38"/>
    </cacheField>
    <cacheField name="Forecast" numFmtId="0">
      <sharedItems containsSemiMixedTypes="0" containsString="0" containsNumber="1" minValue="245457.39" maxValue="407292.84"/>
    </cacheField>
    <cacheField name="Variance_Amount_Budget" numFmtId="0">
      <sharedItems containsSemiMixedTypes="0" containsString="0" containsNumber="1" minValue="-34598.699999999997" maxValue="36536.550000000003"/>
    </cacheField>
    <cacheField name="Variance_Amount_Forecast" numFmtId="0">
      <sharedItems containsSemiMixedTypes="0" containsString="0" containsNumber="1" minValue="-50893.31" maxValue="45265.02"/>
    </cacheField>
    <cacheField name="Variance_%_Budget" numFmtId="0">
      <sharedItems containsSemiMixedTypes="0" containsString="0" containsNumber="1" minValue="-9.9000000000000005E-2" maxValue="9.7100000000000006E-2"/>
    </cacheField>
    <cacheField name="Variance_%_Forecast" numFmtId="0">
      <sharedItems containsSemiMixedTypes="0" containsString="0" containsNumber="1" minValue="-0.13650000000000001" maxValue="0.13089999999999999"/>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6">
  <r>
    <x v="0"/>
    <x v="0"/>
    <n v="306181.02"/>
    <n v="333781.05"/>
    <n v="313284.23"/>
    <n v="27600.03"/>
    <n v="20496.82"/>
    <n v="9.01E-2"/>
    <n v="6.54E-2"/>
  </r>
  <r>
    <x v="0"/>
    <x v="1"/>
    <n v="339798.77"/>
    <n v="316421.88"/>
    <n v="328109.51"/>
    <n v="-23376.89"/>
    <n v="-11687.63"/>
    <n v="-6.88E-2"/>
    <n v="-3.56E-2"/>
  </r>
  <r>
    <x v="0"/>
    <x v="2"/>
    <n v="258712.54"/>
    <n v="277659.40999999997"/>
    <n v="261328.51"/>
    <n v="18946.87"/>
    <n v="16330.9"/>
    <n v="7.3200000000000001E-2"/>
    <n v="6.25E-2"/>
  </r>
  <r>
    <x v="0"/>
    <x v="3"/>
    <n v="356210.89"/>
    <n v="322056.28000000003"/>
    <n v="372949.59"/>
    <n v="-34154.61"/>
    <n v="-50893.31"/>
    <n v="-9.5899999999999999E-2"/>
    <n v="-0.13650000000000001"/>
  </r>
  <r>
    <x v="0"/>
    <x v="4"/>
    <n v="374866.4"/>
    <n v="353299.52"/>
    <n v="362939.08"/>
    <n v="-21566.880000000001"/>
    <n v="-9639.56"/>
    <n v="-5.7500000000000002E-2"/>
    <n v="-2.6599999999999999E-2"/>
  </r>
  <r>
    <x v="0"/>
    <x v="5"/>
    <n v="277510.68"/>
    <n v="266645.7"/>
    <n v="278197.69"/>
    <n v="-10864.98"/>
    <n v="-11551.99"/>
    <n v="-3.9199999999999999E-2"/>
    <n v="-4.1500000000000002E-2"/>
  </r>
  <r>
    <x v="0"/>
    <x v="6"/>
    <n v="314791.75"/>
    <n v="301647.88"/>
    <n v="318312.78999999998"/>
    <n v="-13143.87"/>
    <n v="-16664.91"/>
    <n v="-4.1799999999999997E-2"/>
    <n v="-5.2400000000000002E-2"/>
  </r>
  <r>
    <x v="0"/>
    <x v="7"/>
    <n v="270924.08"/>
    <n v="259661.48"/>
    <n v="267303.5"/>
    <n v="-11262.6"/>
    <n v="-7642.02"/>
    <n v="-4.1599999999999998E-2"/>
    <n v="-2.86E-2"/>
  </r>
  <r>
    <x v="0"/>
    <x v="8"/>
    <n v="318410.5"/>
    <n v="336571.1"/>
    <n v="308847.8"/>
    <n v="18160.599999999999"/>
    <n v="27723.3"/>
    <n v="5.7000000000000002E-2"/>
    <n v="8.9800000000000005E-2"/>
  </r>
  <r>
    <x v="0"/>
    <x v="9"/>
    <n v="327135.17"/>
    <n v="333181.58"/>
    <n v="312297.96000000002"/>
    <n v="6046.41"/>
    <n v="20883.62"/>
    <n v="1.8499999999999999E-2"/>
    <n v="6.6900000000000001E-2"/>
  </r>
  <r>
    <x v="0"/>
    <x v="10"/>
    <n v="341131.73"/>
    <n v="318652.78999999998"/>
    <n v="326294.26"/>
    <n v="-22478.94"/>
    <n v="-7641.47"/>
    <n v="-6.59E-2"/>
    <n v="-2.3400000000000001E-2"/>
  </r>
  <r>
    <x v="0"/>
    <x v="11"/>
    <n v="392332.83"/>
    <n v="428869.38"/>
    <n v="404432.27"/>
    <n v="36536.550000000003"/>
    <n v="24437.11"/>
    <n v="9.3100000000000002E-2"/>
    <n v="6.0400000000000002E-2"/>
  </r>
  <r>
    <x v="1"/>
    <x v="0"/>
    <n v="295692.07"/>
    <n v="271899.03000000003"/>
    <n v="301139.69"/>
    <n v="-23793.040000000001"/>
    <n v="-29240.66"/>
    <n v="-8.0500000000000002E-2"/>
    <n v="-9.7100000000000006E-2"/>
  </r>
  <r>
    <x v="1"/>
    <x v="1"/>
    <n v="316022.87"/>
    <n v="292133.96000000002"/>
    <n v="315870.45"/>
    <n v="-23888.91"/>
    <n v="-23736.49"/>
    <n v="-7.5600000000000001E-2"/>
    <n v="-7.51E-2"/>
  </r>
  <r>
    <x v="1"/>
    <x v="2"/>
    <n v="255158.28"/>
    <n v="276046.58"/>
    <n v="249003.35"/>
    <n v="20888.3"/>
    <n v="27043.23"/>
    <n v="8.1900000000000001E-2"/>
    <n v="0.1086"/>
  </r>
  <r>
    <x v="1"/>
    <x v="3"/>
    <n v="349378.34"/>
    <n v="336221.53"/>
    <n v="350079.48"/>
    <n v="-13156.81"/>
    <n v="-13857.95"/>
    <n v="-3.7699999999999997E-2"/>
    <n v="-3.9600000000000003E-2"/>
  </r>
  <r>
    <x v="1"/>
    <x v="4"/>
    <n v="332006.53999999998"/>
    <n v="311080.46999999997"/>
    <n v="347597.06"/>
    <n v="-20926.07"/>
    <n v="-36516.589999999997"/>
    <n v="-6.3E-2"/>
    <n v="-0.1051"/>
  </r>
  <r>
    <x v="1"/>
    <x v="5"/>
    <n v="366269.92"/>
    <n v="398464.97"/>
    <n v="380731.26"/>
    <n v="32195.05"/>
    <n v="17733.71"/>
    <n v="8.7900000000000006E-2"/>
    <n v="4.6600000000000003E-2"/>
  </r>
  <r>
    <x v="1"/>
    <x v="6"/>
    <n v="339685"/>
    <n v="368345.87"/>
    <n v="325706.7"/>
    <n v="28660.87"/>
    <n v="42639.17"/>
    <n v="8.4400000000000003E-2"/>
    <n v="0.13089999999999999"/>
  </r>
  <r>
    <x v="1"/>
    <x v="7"/>
    <n v="279397.43"/>
    <n v="253984.96"/>
    <n v="274517.2"/>
    <n v="-25412.47"/>
    <n v="-20532.240000000002"/>
    <n v="-9.0999999999999998E-2"/>
    <n v="-7.4800000000000005E-2"/>
  </r>
  <r>
    <x v="1"/>
    <x v="8"/>
    <n v="308301.59000000003"/>
    <n v="294202.90000000002"/>
    <n v="318436.62"/>
    <n v="-14098.69"/>
    <n v="-24233.72"/>
    <n v="-4.5699999999999998E-2"/>
    <n v="-7.6100000000000001E-2"/>
  </r>
  <r>
    <x v="1"/>
    <x v="9"/>
    <n v="303513"/>
    <n v="290215.15000000002"/>
    <n v="304808.88"/>
    <n v="-13297.85"/>
    <n v="-14593.73"/>
    <n v="-4.3799999999999999E-2"/>
    <n v="-4.7899999999999998E-2"/>
  </r>
  <r>
    <x v="1"/>
    <x v="10"/>
    <n v="271138.63"/>
    <n v="287526.09000000003"/>
    <n v="259603.06"/>
    <n v="16387.46"/>
    <n v="27923.03"/>
    <n v="6.0400000000000002E-2"/>
    <n v="0.1076"/>
  </r>
  <r>
    <x v="1"/>
    <x v="11"/>
    <n v="398033.04"/>
    <n v="419705.52"/>
    <n v="386040.93"/>
    <n v="21672.48"/>
    <n v="33664.589999999997"/>
    <n v="5.4399999999999997E-2"/>
    <n v="8.72E-2"/>
  </r>
  <r>
    <x v="2"/>
    <x v="0"/>
    <n v="250828.32"/>
    <n v="266653.65000000002"/>
    <n v="256016.89"/>
    <n v="15825.33"/>
    <n v="10636.76"/>
    <n v="6.3100000000000003E-2"/>
    <n v="4.1500000000000002E-2"/>
  </r>
  <r>
    <x v="2"/>
    <x v="1"/>
    <n v="359351.08"/>
    <n v="378847.33"/>
    <n v="344044.32"/>
    <n v="19496.25"/>
    <n v="34803.01"/>
    <n v="5.4300000000000001E-2"/>
    <n v="0.1012"/>
  </r>
  <r>
    <x v="2"/>
    <x v="2"/>
    <n v="303769.86"/>
    <n v="280432.38"/>
    <n v="314799.84999999998"/>
    <n v="-23337.48"/>
    <n v="-34367.47"/>
    <n v="-7.6799999999999993E-2"/>
    <n v="-0.10920000000000001"/>
  </r>
  <r>
    <x v="2"/>
    <x v="3"/>
    <n v="343494.72"/>
    <n v="331877.59000000003"/>
    <n v="328503.18"/>
    <n v="-11617.13"/>
    <n v="3374.41"/>
    <n v="-3.3799999999999997E-2"/>
    <n v="1.03E-2"/>
  </r>
  <r>
    <x v="2"/>
    <x v="4"/>
    <n v="296647.34999999998"/>
    <n v="286275.57"/>
    <n v="303458.55"/>
    <n v="-10371.780000000001"/>
    <n v="-17182.98"/>
    <n v="-3.5000000000000003E-2"/>
    <n v="-5.6599999999999998E-2"/>
  </r>
  <r>
    <x v="2"/>
    <x v="5"/>
    <n v="345633.62"/>
    <n v="372400.37"/>
    <n v="344673.28000000003"/>
    <n v="26766.75"/>
    <n v="27727.09"/>
    <n v="7.7399999999999997E-2"/>
    <n v="8.0399999999999999E-2"/>
  </r>
  <r>
    <x v="2"/>
    <x v="6"/>
    <n v="267939.14"/>
    <n v="279366.46000000002"/>
    <n v="274926.59000000003"/>
    <n v="11427.32"/>
    <n v="4439.87"/>
    <n v="4.2599999999999999E-2"/>
    <n v="1.61E-2"/>
  </r>
  <r>
    <x v="2"/>
    <x v="7"/>
    <n v="334191.58"/>
    <n v="352302.57"/>
    <n v="333984.23"/>
    <n v="18110.990000000002"/>
    <n v="18318.34"/>
    <n v="5.4199999999999998E-2"/>
    <n v="5.4800000000000001E-2"/>
  </r>
  <r>
    <x v="2"/>
    <x v="8"/>
    <n v="328409.92"/>
    <n v="323650.67"/>
    <n v="312824.21999999997"/>
    <n v="-4759.25"/>
    <n v="10826.45"/>
    <n v="-1.4500000000000001E-2"/>
    <n v="3.4599999999999999E-2"/>
  </r>
  <r>
    <x v="2"/>
    <x v="9"/>
    <n v="266183.71000000002"/>
    <n v="241238.53"/>
    <n v="269814.74"/>
    <n v="-24945.18"/>
    <n v="-28576.21"/>
    <n v="-9.3700000000000006E-2"/>
    <n v="-0.10589999999999999"/>
  </r>
  <r>
    <x v="2"/>
    <x v="10"/>
    <n v="297153.40000000002"/>
    <n v="297662.76"/>
    <n v="309264.37"/>
    <n v="509.36"/>
    <n v="-11601.61"/>
    <n v="1.6999999999999999E-3"/>
    <n v="-3.7499999999999999E-2"/>
  </r>
  <r>
    <x v="2"/>
    <x v="11"/>
    <n v="287393.83"/>
    <n v="282242.76"/>
    <n v="294738.21999999997"/>
    <n v="-5151.07"/>
    <n v="-12495.46"/>
    <n v="-1.7899999999999999E-2"/>
    <n v="-4.24E-2"/>
  </r>
  <r>
    <x v="3"/>
    <x v="0"/>
    <n v="284319.71999999997"/>
    <n v="260265.13"/>
    <n v="278341.94"/>
    <n v="-24054.59"/>
    <n v="-18076.810000000001"/>
    <n v="-8.4599999999999995E-2"/>
    <n v="-6.4899999999999999E-2"/>
  </r>
  <r>
    <x v="3"/>
    <x v="1"/>
    <n v="274183.19"/>
    <n v="297746.37"/>
    <n v="282631.34000000003"/>
    <n v="23563.18"/>
    <n v="15115.03"/>
    <n v="8.5900000000000004E-2"/>
    <n v="5.3499999999999999E-2"/>
  </r>
  <r>
    <x v="3"/>
    <x v="2"/>
    <n v="345010.56"/>
    <n v="370642.13"/>
    <n v="355487.57"/>
    <n v="25631.57"/>
    <n v="15154.56"/>
    <n v="7.4300000000000005E-2"/>
    <n v="4.2599999999999999E-2"/>
  </r>
  <r>
    <x v="3"/>
    <x v="3"/>
    <n v="277985.51"/>
    <n v="299810.65000000002"/>
    <n v="279079.17"/>
    <n v="21825.14"/>
    <n v="20731.48"/>
    <n v="7.85E-2"/>
    <n v="7.4300000000000005E-2"/>
  </r>
  <r>
    <x v="3"/>
    <x v="4"/>
    <n v="371116.02"/>
    <n v="400515.19"/>
    <n v="364361.84"/>
    <n v="29399.17"/>
    <n v="36153.35"/>
    <n v="7.9200000000000007E-2"/>
    <n v="9.9199999999999997E-2"/>
  </r>
  <r>
    <x v="3"/>
    <x v="5"/>
    <n v="266507.78999999998"/>
    <n v="252006.31"/>
    <n v="264565.15000000002"/>
    <n v="-14501.48"/>
    <n v="-12558.84"/>
    <n v="-5.4399999999999997E-2"/>
    <n v="-4.7500000000000001E-2"/>
  </r>
  <r>
    <x v="3"/>
    <x v="6"/>
    <n v="372702.21"/>
    <n v="399591.23"/>
    <n v="354326.21"/>
    <n v="26889.02"/>
    <n v="45265.02"/>
    <n v="7.2099999999999997E-2"/>
    <n v="0.12770000000000001"/>
  </r>
  <r>
    <x v="3"/>
    <x v="7"/>
    <n v="326612.09999999998"/>
    <n v="321217.18"/>
    <n v="317535.8"/>
    <n v="-5394.92"/>
    <n v="3681.38"/>
    <n v="-1.6500000000000001E-2"/>
    <n v="1.1599999999999999E-2"/>
  </r>
  <r>
    <x v="3"/>
    <x v="8"/>
    <n v="267979.81"/>
    <n v="259276.63"/>
    <n v="279848.89"/>
    <n v="-8703.18"/>
    <n v="-20572.259999999998"/>
    <n v="-3.2500000000000001E-2"/>
    <n v="-7.3499999999999996E-2"/>
  </r>
  <r>
    <x v="3"/>
    <x v="9"/>
    <n v="298480.44"/>
    <n v="299602.17"/>
    <n v="304540.15999999997"/>
    <n v="1121.73"/>
    <n v="-4937.99"/>
    <n v="3.8E-3"/>
    <n v="-1.6199999999999999E-2"/>
  </r>
  <r>
    <x v="3"/>
    <x v="10"/>
    <n v="304544.44"/>
    <n v="333280.15999999997"/>
    <n v="318628.02"/>
    <n v="28735.72"/>
    <n v="14652.14"/>
    <n v="9.4399999999999998E-2"/>
    <n v="4.5999999999999999E-2"/>
  </r>
  <r>
    <x v="3"/>
    <x v="11"/>
    <n v="287767.34000000003"/>
    <n v="287608.99"/>
    <n v="282037.27"/>
    <n v="-158.35"/>
    <n v="5571.72"/>
    <n v="-5.9999999999999995E-4"/>
    <n v="1.9800000000000002E-2"/>
  </r>
  <r>
    <x v="4"/>
    <x v="0"/>
    <n v="292726.07"/>
    <n v="265613.02"/>
    <n v="295933.31"/>
    <n v="-27113.05"/>
    <n v="-30320.29"/>
    <n v="-9.2600000000000002E-2"/>
    <n v="-0.10249999999999999"/>
  </r>
  <r>
    <x v="4"/>
    <x v="1"/>
    <n v="325401.84999999998"/>
    <n v="296211.92"/>
    <n v="318198.96999999997"/>
    <n v="-29189.93"/>
    <n v="-21987.05"/>
    <n v="-8.9700000000000002E-2"/>
    <n v="-6.9099999999999995E-2"/>
  </r>
  <r>
    <x v="4"/>
    <x v="2"/>
    <n v="386239.88"/>
    <n v="366121.57"/>
    <n v="372524.31"/>
    <n v="-20118.310000000001"/>
    <n v="-6402.74"/>
    <n v="-5.21E-2"/>
    <n v="-1.72E-2"/>
  </r>
  <r>
    <x v="4"/>
    <x v="3"/>
    <n v="323417.90999999997"/>
    <n v="354831.53"/>
    <n v="315075.52"/>
    <n v="31413.62"/>
    <n v="39756.01"/>
    <n v="9.7100000000000006E-2"/>
    <n v="0.12620000000000001"/>
  </r>
  <r>
    <x v="4"/>
    <x v="4"/>
    <n v="350820.33"/>
    <n v="369176.63"/>
    <n v="341616.12"/>
    <n v="18356.3"/>
    <n v="27560.51"/>
    <n v="5.2299999999999999E-2"/>
    <n v="8.0699999999999994E-2"/>
  </r>
  <r>
    <x v="4"/>
    <x v="5"/>
    <n v="359232.45"/>
    <n v="349733.13"/>
    <n v="363985.31"/>
    <n v="-9499.32"/>
    <n v="-14252.18"/>
    <n v="-2.64E-2"/>
    <n v="-3.9199999999999999E-2"/>
  </r>
  <r>
    <x v="4"/>
    <x v="6"/>
    <n v="345029.46"/>
    <n v="347498.12"/>
    <n v="330893.25"/>
    <n v="2468.66"/>
    <n v="16604.87"/>
    <n v="7.1999999999999998E-3"/>
    <n v="5.0200000000000002E-2"/>
  </r>
  <r>
    <x v="4"/>
    <x v="7"/>
    <n v="375295.37"/>
    <n v="361843.29"/>
    <n v="363530.56"/>
    <n v="-13452.08"/>
    <n v="-1687.27"/>
    <n v="-3.5799999999999998E-2"/>
    <n v="-4.5999999999999999E-3"/>
  </r>
  <r>
    <x v="4"/>
    <x v="8"/>
    <n v="256116.27"/>
    <n v="260772.1"/>
    <n v="260663.98"/>
    <n v="4655.83"/>
    <n v="108.12"/>
    <n v="1.8200000000000001E-2"/>
    <n v="4.0000000000000002E-4"/>
  </r>
  <r>
    <x v="4"/>
    <x v="9"/>
    <n v="252488.17"/>
    <n v="253098.85"/>
    <n v="245582.52"/>
    <n v="610.67999999999995"/>
    <n v="7516.33"/>
    <n v="2.3999999999999998E-3"/>
    <n v="3.0599999999999999E-2"/>
  </r>
  <r>
    <x v="4"/>
    <x v="10"/>
    <n v="346775.92"/>
    <n v="324191.53999999998"/>
    <n v="353397.18"/>
    <n v="-22584.38"/>
    <n v="-29205.64"/>
    <n v="-6.5100000000000005E-2"/>
    <n v="-8.2600000000000007E-2"/>
  </r>
  <r>
    <x v="4"/>
    <x v="11"/>
    <n v="308010.3"/>
    <n v="334913.77"/>
    <n v="296845.57"/>
    <n v="26903.47"/>
    <n v="38068.199999999997"/>
    <n v="8.7300000000000003E-2"/>
    <n v="0.12820000000000001"/>
  </r>
  <r>
    <x v="5"/>
    <x v="0"/>
    <n v="301159.95"/>
    <n v="277878.69"/>
    <n v="313950.02"/>
    <n v="-23281.26"/>
    <n v="-36071.33"/>
    <n v="-7.7299999999999994E-2"/>
    <n v="-0.1149"/>
  </r>
  <r>
    <x v="5"/>
    <x v="1"/>
    <n v="381600.9"/>
    <n v="363126.96"/>
    <n v="387705.91"/>
    <n v="-18473.939999999999"/>
    <n v="-24578.95"/>
    <n v="-4.8399999999999999E-2"/>
    <n v="-6.3399999999999998E-2"/>
  </r>
  <r>
    <x v="5"/>
    <x v="2"/>
    <n v="372583.33"/>
    <n v="376696.71"/>
    <n v="373688.06"/>
    <n v="4113.38"/>
    <n v="3008.65"/>
    <n v="1.0999999999999999E-2"/>
    <n v="8.0999999999999996E-3"/>
  </r>
  <r>
    <x v="5"/>
    <x v="3"/>
    <n v="286277.84000000003"/>
    <n v="262980.71000000002"/>
    <n v="297649.25"/>
    <n v="-23297.13"/>
    <n v="-34668.54"/>
    <n v="-8.14E-2"/>
    <n v="-0.11650000000000001"/>
  </r>
  <r>
    <x v="5"/>
    <x v="4"/>
    <n v="385062.71"/>
    <n v="395313.19"/>
    <n v="378864.35"/>
    <n v="10250.48"/>
    <n v="16448.84"/>
    <n v="2.6599999999999999E-2"/>
    <n v="4.3400000000000001E-2"/>
  </r>
  <r>
    <x v="5"/>
    <x v="5"/>
    <n v="302381.44"/>
    <n v="316046.40000000002"/>
    <n v="314389.31"/>
    <n v="13664.96"/>
    <n v="1657.09"/>
    <n v="4.5199999999999997E-2"/>
    <n v="5.3E-3"/>
  </r>
  <r>
    <x v="5"/>
    <x v="6"/>
    <n v="383062.96"/>
    <n v="404504.95"/>
    <n v="388503.67"/>
    <n v="21441.99"/>
    <n v="16001.28"/>
    <n v="5.6000000000000001E-2"/>
    <n v="4.1200000000000001E-2"/>
  </r>
  <r>
    <x v="5"/>
    <x v="7"/>
    <n v="262620.99"/>
    <n v="244848.31"/>
    <n v="273087.86"/>
    <n v="-17772.68"/>
    <n v="-28239.55"/>
    <n v="-6.7699999999999996E-2"/>
    <n v="-0.10340000000000001"/>
  </r>
  <r>
    <x v="5"/>
    <x v="8"/>
    <n v="340964.36"/>
    <n v="307495.09999999998"/>
    <n v="327375.96000000002"/>
    <n v="-33469.26"/>
    <n v="-19880.86"/>
    <n v="-9.8199999999999996E-2"/>
    <n v="-6.0699999999999997E-2"/>
  </r>
  <r>
    <x v="5"/>
    <x v="9"/>
    <n v="349525.27"/>
    <n v="314926.57"/>
    <n v="337669.65"/>
    <n v="-34598.699999999997"/>
    <n v="-22743.08"/>
    <n v="-9.9000000000000005E-2"/>
    <n v="-6.7400000000000002E-2"/>
  </r>
  <r>
    <x v="5"/>
    <x v="10"/>
    <n v="332310.07"/>
    <n v="345063.81"/>
    <n v="337359.89"/>
    <n v="12753.74"/>
    <n v="7703.92"/>
    <n v="3.8399999999999997E-2"/>
    <n v="2.2800000000000001E-2"/>
  </r>
  <r>
    <x v="5"/>
    <x v="11"/>
    <n v="283640.40000000002"/>
    <n v="295676.92"/>
    <n v="276187.71999999997"/>
    <n v="12036.52"/>
    <n v="19489.2"/>
    <n v="4.24E-2"/>
    <n v="7.0599999999999996E-2"/>
  </r>
  <r>
    <x v="6"/>
    <x v="0"/>
    <n v="298809.95"/>
    <n v="313540.77"/>
    <n v="303281.13"/>
    <n v="14730.82"/>
    <n v="10259.64"/>
    <n v="4.9299999999999997E-2"/>
    <n v="3.3799999999999997E-2"/>
  </r>
  <r>
    <x v="6"/>
    <x v="1"/>
    <n v="377383.51"/>
    <n v="389279.61"/>
    <n v="379961.37"/>
    <n v="11896.1"/>
    <n v="9318.24"/>
    <n v="3.15E-2"/>
    <n v="2.4500000000000001E-2"/>
  </r>
  <r>
    <x v="6"/>
    <x v="2"/>
    <n v="264051.21999999997"/>
    <n v="257065.25"/>
    <n v="257851.36"/>
    <n v="-6985.97"/>
    <n v="-786.11"/>
    <n v="-2.6499999999999999E-2"/>
    <n v="-3.0000000000000001E-3"/>
  </r>
  <r>
    <x v="6"/>
    <x v="3"/>
    <n v="286598.45"/>
    <n v="313711.26"/>
    <n v="283534.64"/>
    <n v="27112.81"/>
    <n v="30176.62"/>
    <n v="9.4600000000000004E-2"/>
    <n v="0.10639999999999999"/>
  </r>
  <r>
    <x v="6"/>
    <x v="4"/>
    <n v="383806.98"/>
    <n v="393873.37"/>
    <n v="395122.05"/>
    <n v="10066.39"/>
    <n v="-1248.68"/>
    <n v="2.6200000000000001E-2"/>
    <n v="-3.2000000000000002E-3"/>
  </r>
  <r>
    <x v="6"/>
    <x v="5"/>
    <n v="325395.56"/>
    <n v="330400.40000000002"/>
    <n v="325152.09000000003"/>
    <n v="5004.84"/>
    <n v="5248.31"/>
    <n v="1.54E-2"/>
    <n v="1.61E-2"/>
  </r>
  <r>
    <x v="6"/>
    <x v="6"/>
    <n v="279286.45"/>
    <n v="291712.02"/>
    <n v="273163.71999999997"/>
    <n v="12425.57"/>
    <n v="18548.3"/>
    <n v="4.4499999999999998E-2"/>
    <n v="6.7900000000000002E-2"/>
  </r>
  <r>
    <x v="6"/>
    <x v="7"/>
    <n v="253647.39"/>
    <n v="261027.13"/>
    <n v="245457.39"/>
    <n v="7379.74"/>
    <n v="15569.74"/>
    <n v="2.9100000000000001E-2"/>
    <n v="6.3399999999999998E-2"/>
  </r>
  <r>
    <x v="6"/>
    <x v="8"/>
    <n v="391068.79"/>
    <n v="426572.25"/>
    <n v="407292.84"/>
    <n v="35503.46"/>
    <n v="19279.41"/>
    <n v="9.0800000000000006E-2"/>
    <n v="4.7300000000000002E-2"/>
  </r>
  <r>
    <x v="6"/>
    <x v="9"/>
    <n v="305523.81"/>
    <n v="275915.90000000002"/>
    <n v="318609.96000000002"/>
    <n v="-29607.91"/>
    <n v="-42694.06"/>
    <n v="-9.69E-2"/>
    <n v="-0.13400000000000001"/>
  </r>
  <r>
    <x v="6"/>
    <x v="10"/>
    <n v="314227.62"/>
    <n v="343554.79"/>
    <n v="328795.84000000003"/>
    <n v="29327.17"/>
    <n v="14758.95"/>
    <n v="9.3299999999999994E-2"/>
    <n v="4.4900000000000002E-2"/>
  </r>
  <r>
    <x v="6"/>
    <x v="11"/>
    <n v="377951.42"/>
    <n v="362413.75"/>
    <n v="373608.67"/>
    <n v="-15537.67"/>
    <n v="-11194.92"/>
    <n v="-4.1099999999999998E-2"/>
    <n v="-0.03"/>
  </r>
  <r>
    <x v="7"/>
    <x v="0"/>
    <n v="377670.5"/>
    <n v="363841.87"/>
    <n v="365188.22"/>
    <n v="-13828.63"/>
    <n v="-1346.35"/>
    <n v="-3.6600000000000001E-2"/>
    <n v="-3.7000000000000002E-3"/>
  </r>
  <r>
    <x v="7"/>
    <x v="1"/>
    <n v="333520.19"/>
    <n v="362613.47"/>
    <n v="340058.18"/>
    <n v="29093.279999999999"/>
    <n v="22555.29"/>
    <n v="8.72E-2"/>
    <n v="6.6299999999999998E-2"/>
  </r>
  <r>
    <x v="7"/>
    <x v="2"/>
    <n v="335509.18"/>
    <n v="308478.98"/>
    <n v="339367.77"/>
    <n v="-27030.2"/>
    <n v="-30888.79"/>
    <n v="-8.0600000000000005E-2"/>
    <n v="-9.0999999999999998E-2"/>
  </r>
  <r>
    <x v="7"/>
    <x v="3"/>
    <n v="398508.08"/>
    <n v="369822.19"/>
    <n v="399238.53"/>
    <n v="-28685.89"/>
    <n v="-29416.34"/>
    <n v="-7.1999999999999995E-2"/>
    <n v="-7.3700000000000002E-2"/>
  </r>
  <r>
    <x v="7"/>
    <x v="4"/>
    <n v="381605.96"/>
    <n v="399981.71"/>
    <n v="389124.2"/>
    <n v="18375.75"/>
    <n v="10857.51"/>
    <n v="4.82E-2"/>
    <n v="2.7900000000000001E-2"/>
  </r>
  <r>
    <x v="7"/>
    <x v="5"/>
    <n v="355372.61"/>
    <n v="345386.01"/>
    <n v="348037.43"/>
    <n v="-9986.6"/>
    <n v="-2651.42"/>
    <n v="-2.81E-2"/>
    <n v="-7.6E-3"/>
  </r>
  <r>
    <x v="7"/>
    <x v="6"/>
    <n v="371404.17"/>
    <n v="394439.66"/>
    <n v="385037.39"/>
    <n v="23035.49"/>
    <n v="9402.27"/>
    <n v="6.2E-2"/>
    <n v="2.4400000000000002E-2"/>
  </r>
  <r>
    <x v="7"/>
    <x v="7"/>
    <n v="386986.08"/>
    <n v="387863.95"/>
    <n v="387044.76"/>
    <n v="877.87"/>
    <n v="819.19"/>
    <n v="2.3E-3"/>
    <n v="2.0999999999999999E-3"/>
  </r>
  <r>
    <x v="7"/>
    <x v="8"/>
    <n v="369744.28"/>
    <n v="380833.94"/>
    <n v="377211.89"/>
    <n v="11089.66"/>
    <n v="3622.05"/>
    <n v="0.03"/>
    <n v="9.5999999999999992E-3"/>
  </r>
  <r>
    <x v="7"/>
    <x v="9"/>
    <n v="369368.9"/>
    <n v="398180.07"/>
    <n v="363384.95"/>
    <n v="28811.17"/>
    <n v="34795.120000000003"/>
    <n v="7.8E-2"/>
    <n v="9.5799999999999996E-2"/>
  </r>
  <r>
    <x v="7"/>
    <x v="10"/>
    <n v="306337.44"/>
    <n v="281461.74"/>
    <n v="308735.46000000002"/>
    <n v="-24875.7"/>
    <n v="-27273.72"/>
    <n v="-8.1199999999999994E-2"/>
    <n v="-8.8300000000000003E-2"/>
  </r>
  <r>
    <x v="7"/>
    <x v="11"/>
    <n v="255391.34"/>
    <n v="253634.15"/>
    <n v="256480.45"/>
    <n v="-1757.19"/>
    <n v="-2846.3"/>
    <n v="-6.8999999999999999E-3"/>
    <n v="-1.11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rowHeaderCaption="Department">
  <location ref="A3:C12" firstHeaderRow="0" firstDataRow="1" firstDataCol="1"/>
  <pivotFields count="9">
    <pivotField axis="axisRow" showAll="0">
      <items count="9">
        <item x="6"/>
        <item x="4"/>
        <item x="1"/>
        <item x="0"/>
        <item x="3"/>
        <item x="5"/>
        <item x="7"/>
        <item x="2"/>
        <item t="default"/>
      </items>
    </pivotField>
    <pivotField numFmtId="14" showAll="0">
      <items count="13">
        <item x="0"/>
        <item x="1"/>
        <item x="2"/>
        <item x="3"/>
        <item x="4"/>
        <item x="5"/>
        <item x="6"/>
        <item x="7"/>
        <item x="8"/>
        <item x="9"/>
        <item x="10"/>
        <item x="11"/>
        <item t="default"/>
      </items>
    </pivotField>
    <pivotField dataField="1" showAll="0"/>
    <pivotField dataField="1" showAll="0"/>
    <pivotField showAll="0"/>
    <pivotField showAll="0"/>
    <pivotField showAll="0"/>
    <pivotField showAll="0"/>
    <pivotField showAll="0"/>
  </pivotFields>
  <rowFields count="1">
    <field x="0"/>
  </rowFields>
  <rowItems count="9">
    <i>
      <x/>
    </i>
    <i>
      <x v="1"/>
    </i>
    <i>
      <x v="2"/>
    </i>
    <i>
      <x v="3"/>
    </i>
    <i>
      <x v="4"/>
    </i>
    <i>
      <x v="5"/>
    </i>
    <i>
      <x v="6"/>
    </i>
    <i>
      <x v="7"/>
    </i>
    <i t="grand">
      <x/>
    </i>
  </rowItems>
  <colFields count="1">
    <field x="-2"/>
  </colFields>
  <colItems count="2">
    <i>
      <x/>
    </i>
    <i i="1">
      <x v="1"/>
    </i>
  </colItems>
  <dataFields count="2">
    <dataField name="Total Budget" fld="2" baseField="0" baseItem="0"/>
    <dataField name="Total  Actual" fld="3" baseField="0" baseItem="0"/>
  </dataField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rowHeaderCaption="Department">
  <location ref="A3:B16" firstHeaderRow="1" firstDataRow="1" firstDataCol="1"/>
  <pivotFields count="9">
    <pivotField showAll="0"/>
    <pivotField axis="axisRow" numFmtId="14" showAll="0">
      <items count="13">
        <item x="0"/>
        <item x="1"/>
        <item x="2"/>
        <item x="3"/>
        <item x="4"/>
        <item x="5"/>
        <item x="6"/>
        <item x="7"/>
        <item x="8"/>
        <item x="9"/>
        <item x="10"/>
        <item x="11"/>
        <item t="default"/>
      </items>
    </pivotField>
    <pivotField showAll="0"/>
    <pivotField dataField="1" showAll="0"/>
    <pivotField showAll="0"/>
    <pivotField showAll="0"/>
    <pivotField showAll="0"/>
    <pivotField showAll="0"/>
    <pivotField showAll="0"/>
  </pivotFields>
  <rowFields count="1">
    <field x="1"/>
  </rowFields>
  <rowItems count="13">
    <i>
      <x/>
    </i>
    <i>
      <x v="1"/>
    </i>
    <i>
      <x v="2"/>
    </i>
    <i>
      <x v="3"/>
    </i>
    <i>
      <x v="4"/>
    </i>
    <i>
      <x v="5"/>
    </i>
    <i>
      <x v="6"/>
    </i>
    <i>
      <x v="7"/>
    </i>
    <i>
      <x v="8"/>
    </i>
    <i>
      <x v="9"/>
    </i>
    <i>
      <x v="10"/>
    </i>
    <i>
      <x v="11"/>
    </i>
    <i t="grand">
      <x/>
    </i>
  </rowItems>
  <colItems count="1">
    <i/>
  </colItems>
  <dataFields count="1">
    <dataField name="Total Actual" fld="3" baseField="0" baseItem="0"/>
  </dataFields>
  <chartFormats count="2">
    <chartFormat chart="4" format="1"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1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rowHeaderCaption="Department">
  <location ref="A3:B12" firstHeaderRow="1" firstDataRow="1" firstDataCol="1"/>
  <pivotFields count="9">
    <pivotField axis="axisRow" showAll="0">
      <items count="9">
        <item x="6"/>
        <item x="4"/>
        <item x="1"/>
        <item x="0"/>
        <item x="3"/>
        <item x="5"/>
        <item x="7"/>
        <item x="2"/>
        <item t="default"/>
      </items>
    </pivotField>
    <pivotField numFmtId="14" showAll="0">
      <items count="13">
        <item x="0"/>
        <item x="1"/>
        <item x="2"/>
        <item x="3"/>
        <item x="4"/>
        <item x="5"/>
        <item x="6"/>
        <item x="7"/>
        <item x="8"/>
        <item x="9"/>
        <item x="10"/>
        <item x="11"/>
        <item t="default"/>
      </items>
    </pivotField>
    <pivotField showAll="0"/>
    <pivotField showAll="0"/>
    <pivotField showAll="0"/>
    <pivotField dataField="1" showAll="0"/>
    <pivotField showAll="0"/>
    <pivotField showAll="0"/>
    <pivotField showAll="0"/>
  </pivotFields>
  <rowFields count="1">
    <field x="0"/>
  </rowFields>
  <rowItems count="9">
    <i>
      <x/>
    </i>
    <i>
      <x v="1"/>
    </i>
    <i>
      <x v="2"/>
    </i>
    <i>
      <x v="3"/>
    </i>
    <i>
      <x v="4"/>
    </i>
    <i>
      <x v="5"/>
    </i>
    <i>
      <x v="6"/>
    </i>
    <i>
      <x v="7"/>
    </i>
    <i t="grand">
      <x/>
    </i>
  </rowItems>
  <colItems count="1">
    <i/>
  </colItems>
  <dataFields count="1">
    <dataField name=" Variance" fld="5" baseField="0" baseItem="0"/>
  </dataFields>
  <chartFormats count="10">
    <chartFormat chart="4" format="1"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0" count="1" selected="0">
            <x v="0"/>
          </reference>
        </references>
      </pivotArea>
    </chartFormat>
    <chartFormat chart="8" format="3">
      <pivotArea type="data" outline="0" fieldPosition="0">
        <references count="2">
          <reference field="4294967294" count="1" selected="0">
            <x v="0"/>
          </reference>
          <reference field="0" count="1" selected="0">
            <x v="1"/>
          </reference>
        </references>
      </pivotArea>
    </chartFormat>
    <chartFormat chart="8" format="4">
      <pivotArea type="data" outline="0" fieldPosition="0">
        <references count="2">
          <reference field="4294967294" count="1" selected="0">
            <x v="0"/>
          </reference>
          <reference field="0" count="1" selected="0">
            <x v="2"/>
          </reference>
        </references>
      </pivotArea>
    </chartFormat>
    <chartFormat chart="8" format="5">
      <pivotArea type="data" outline="0" fieldPosition="0">
        <references count="2">
          <reference field="4294967294" count="1" selected="0">
            <x v="0"/>
          </reference>
          <reference field="0" count="1" selected="0">
            <x v="3"/>
          </reference>
        </references>
      </pivotArea>
    </chartFormat>
    <chartFormat chart="8" format="6">
      <pivotArea type="data" outline="0" fieldPosition="0">
        <references count="2">
          <reference field="4294967294" count="1" selected="0">
            <x v="0"/>
          </reference>
          <reference field="0" count="1" selected="0">
            <x v="4"/>
          </reference>
        </references>
      </pivotArea>
    </chartFormat>
    <chartFormat chart="8" format="7">
      <pivotArea type="data" outline="0" fieldPosition="0">
        <references count="2">
          <reference field="4294967294" count="1" selected="0">
            <x v="0"/>
          </reference>
          <reference field="0" count="1" selected="0">
            <x v="5"/>
          </reference>
        </references>
      </pivotArea>
    </chartFormat>
    <chartFormat chart="8" format="8">
      <pivotArea type="data" outline="0" fieldPosition="0">
        <references count="2">
          <reference field="4294967294" count="1" selected="0">
            <x v="0"/>
          </reference>
          <reference field="0" count="1" selected="0">
            <x v="6"/>
          </reference>
        </references>
      </pivotArea>
    </chartFormat>
    <chartFormat chart="8" format="9">
      <pivotArea type="data" outline="0" fieldPosition="0">
        <references count="2">
          <reference field="4294967294" count="1" selected="0">
            <x v="0"/>
          </reference>
          <reference field="0"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9" cacheId="1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rowHeaderCaption="Department">
  <location ref="H2:L11" firstHeaderRow="0" firstDataRow="1" firstDataCol="1"/>
  <pivotFields count="9">
    <pivotField axis="axisRow" showAll="0">
      <items count="9">
        <item x="6"/>
        <item x="4"/>
        <item x="1"/>
        <item x="0"/>
        <item x="3"/>
        <item x="5"/>
        <item x="7"/>
        <item x="2"/>
        <item t="default"/>
      </items>
    </pivotField>
    <pivotField numFmtId="14" showAll="0"/>
    <pivotField dataField="1" showAll="0"/>
    <pivotField dataField="1" showAll="0"/>
    <pivotField showAll="0"/>
    <pivotField dataField="1" showAll="0"/>
    <pivotField showAll="0"/>
    <pivotField dataField="1" showAll="0"/>
    <pivotField showAll="0"/>
  </pivotFields>
  <rowFields count="1">
    <field x="0"/>
  </rowFields>
  <rowItems count="9">
    <i>
      <x/>
    </i>
    <i>
      <x v="1"/>
    </i>
    <i>
      <x v="2"/>
    </i>
    <i>
      <x v="3"/>
    </i>
    <i>
      <x v="4"/>
    </i>
    <i>
      <x v="5"/>
    </i>
    <i>
      <x v="6"/>
    </i>
    <i>
      <x v="7"/>
    </i>
    <i t="grand">
      <x/>
    </i>
  </rowItems>
  <colFields count="1">
    <field x="-2"/>
  </colFields>
  <colItems count="4">
    <i>
      <x/>
    </i>
    <i i="1">
      <x v="1"/>
    </i>
    <i i="2">
      <x v="2"/>
    </i>
    <i i="3">
      <x v="3"/>
    </i>
  </colItems>
  <dataFields count="4">
    <dataField name="Total Budget" fld="2" baseField="0" baseItem="0"/>
    <dataField name="Total Actual" fld="3" baseField="0" baseItem="0"/>
    <dataField name=" Variance" fld="5" baseField="0" baseItem="0"/>
    <dataField name=" Variance %" fld="7" baseField="0" baseItem="0"/>
  </dataFields>
  <formats count="1">
    <format dxfId="10">
      <pivotArea collapsedLevelsAreSubtotals="1" fieldPosition="0">
        <references count="2">
          <reference field="4294967294" count="1" selected="0">
            <x v="0"/>
          </reference>
          <reference field="0" count="1">
            <x v="4"/>
          </reference>
        </references>
      </pivotArea>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1" cacheId="1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rowHeaderCaption="Department">
  <location ref="A3:E12" firstHeaderRow="0" firstDataRow="1" firstDataCol="1"/>
  <pivotFields count="9">
    <pivotField axis="axisRow" showAll="0">
      <items count="9">
        <item x="6"/>
        <item x="4"/>
        <item x="1"/>
        <item x="0"/>
        <item x="3"/>
        <item x="5"/>
        <item x="7"/>
        <item x="2"/>
        <item t="default"/>
      </items>
    </pivotField>
    <pivotField numFmtId="14" showAll="0"/>
    <pivotField dataField="1" showAll="0"/>
    <pivotField dataField="1" showAll="0"/>
    <pivotField showAll="0"/>
    <pivotField dataField="1" showAll="0"/>
    <pivotField showAll="0"/>
    <pivotField dataField="1" showAll="0"/>
    <pivotField showAll="0"/>
  </pivotFields>
  <rowFields count="1">
    <field x="0"/>
  </rowFields>
  <rowItems count="9">
    <i>
      <x/>
    </i>
    <i>
      <x v="1"/>
    </i>
    <i>
      <x v="2"/>
    </i>
    <i>
      <x v="3"/>
    </i>
    <i>
      <x v="4"/>
    </i>
    <i>
      <x v="5"/>
    </i>
    <i>
      <x v="6"/>
    </i>
    <i>
      <x v="7"/>
    </i>
    <i t="grand">
      <x/>
    </i>
  </rowItems>
  <colFields count="1">
    <field x="-2"/>
  </colFields>
  <colItems count="4">
    <i>
      <x/>
    </i>
    <i i="1">
      <x v="1"/>
    </i>
    <i i="2">
      <x v="2"/>
    </i>
    <i i="3">
      <x v="3"/>
    </i>
  </colItems>
  <dataFields count="4">
    <dataField name="Total Budget" fld="2" baseField="0" baseItem="0"/>
    <dataField name="Total Actual" fld="3" baseField="0" baseItem="0"/>
    <dataField name=" Variance" fld="5" baseField="0" baseItem="0"/>
    <dataField name=" Variance %"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partment1" sourceName="Department">
  <pivotTables>
    <pivotTable tabId="7" name="PivotTable7"/>
  </pivotTables>
  <data>
    <tabular pivotCacheId="1">
      <items count="8">
        <i x="6" s="1"/>
        <i x="4" s="1"/>
        <i x="1" s="1"/>
        <i x="0" s="1"/>
        <i x="3" s="1"/>
        <i x="5" s="1"/>
        <i x="7"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onth1" sourceName="Month">
  <pivotTables>
    <pivotTable tabId="7" name="PivotTable7"/>
  </pivotTables>
  <data>
    <tabular pivotCacheId="1">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partment 1" cache="Slicer_Department1" caption="Department" rowHeight="241300"/>
  <slicer name="Month 1" cache="Slicer_Month1" caption="Month" rowHeight="241300"/>
</slicers>
</file>

<file path=xl/tables/table1.xml><?xml version="1.0" encoding="utf-8"?>
<table xmlns="http://schemas.openxmlformats.org/spreadsheetml/2006/main" id="1" name="Table1" displayName="Table1" ref="A1:I97" totalsRowShown="0">
  <autoFilter ref="A1:I97"/>
  <tableColumns count="9">
    <tableColumn id="1" name="Department"/>
    <tableColumn id="2" name="Month" dataDxfId="11"/>
    <tableColumn id="3" name="Budget"/>
    <tableColumn id="4" name="Actual"/>
    <tableColumn id="5" name="Forecast"/>
    <tableColumn id="6" name="Variance_Amount_Budget"/>
    <tableColumn id="7" name="Variance_Amount_Forecast"/>
    <tableColumn id="8" name="Variance_%_Budget"/>
    <tableColumn id="9" name="Variance_%_Forecas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
  <sheetViews>
    <sheetView workbookViewId="0">
      <selection activeCell="D5" sqref="D5"/>
    </sheetView>
  </sheetViews>
  <sheetFormatPr defaultRowHeight="15" x14ac:dyDescent="0.25"/>
  <cols>
    <col min="1" max="1" width="16.85546875" customWidth="1"/>
    <col min="2" max="2" width="12.140625" customWidth="1"/>
    <col min="3" max="3" width="12" customWidth="1"/>
    <col min="4" max="4" width="31.42578125" customWidth="1"/>
  </cols>
  <sheetData>
    <row r="1" spans="1:3" x14ac:dyDescent="0.25">
      <c r="B1" t="s">
        <v>25</v>
      </c>
      <c r="C1" t="s">
        <v>27</v>
      </c>
    </row>
    <row r="2" spans="1:3" x14ac:dyDescent="0.25">
      <c r="C2" s="7" t="s">
        <v>29</v>
      </c>
    </row>
    <row r="3" spans="1:3" x14ac:dyDescent="0.25">
      <c r="A3" s="2" t="s">
        <v>0</v>
      </c>
      <c r="B3" t="s">
        <v>22</v>
      </c>
      <c r="C3" t="s">
        <v>23</v>
      </c>
    </row>
    <row r="4" spans="1:3" x14ac:dyDescent="0.25">
      <c r="A4" s="3" t="s">
        <v>11</v>
      </c>
      <c r="B4" s="4">
        <v>3857751.1500000004</v>
      </c>
      <c r="C4" s="4">
        <v>3959066.5</v>
      </c>
    </row>
    <row r="5" spans="1:3" x14ac:dyDescent="0.25">
      <c r="A5" s="3" t="s">
        <v>9</v>
      </c>
      <c r="B5" s="4">
        <v>3921553.98</v>
      </c>
      <c r="C5" s="4">
        <v>3884005.47</v>
      </c>
    </row>
    <row r="6" spans="1:3" x14ac:dyDescent="0.25">
      <c r="A6" s="3" t="s">
        <v>6</v>
      </c>
      <c r="B6" s="4">
        <v>3814596.71</v>
      </c>
      <c r="C6" s="4">
        <v>3799827.03</v>
      </c>
    </row>
    <row r="7" spans="1:3" x14ac:dyDescent="0.25">
      <c r="A7" s="3" t="s">
        <v>5</v>
      </c>
      <c r="B7" s="4">
        <v>3878006.36</v>
      </c>
      <c r="C7" s="4">
        <v>3848448.05</v>
      </c>
    </row>
    <row r="8" spans="1:3" x14ac:dyDescent="0.25">
      <c r="A8" s="3" t="s">
        <v>8</v>
      </c>
      <c r="B8" s="4">
        <v>3677209.13</v>
      </c>
      <c r="C8" s="4">
        <v>3781562.1399999997</v>
      </c>
    </row>
    <row r="9" spans="1:3" x14ac:dyDescent="0.25">
      <c r="A9" s="3" t="s">
        <v>10</v>
      </c>
      <c r="B9" s="4">
        <v>3981190.2199999997</v>
      </c>
      <c r="C9" s="4">
        <v>3904558.3200000003</v>
      </c>
    </row>
    <row r="10" spans="1:3" x14ac:dyDescent="0.25">
      <c r="A10" s="3" t="s">
        <v>12</v>
      </c>
      <c r="B10" s="4">
        <v>4241418.7299999995</v>
      </c>
      <c r="C10" s="4">
        <v>4246537.74</v>
      </c>
    </row>
    <row r="11" spans="1:3" x14ac:dyDescent="0.25">
      <c r="A11" s="3" t="s">
        <v>7</v>
      </c>
      <c r="B11" s="4">
        <v>3680996.5300000003</v>
      </c>
      <c r="C11" s="4">
        <v>3692950.6399999997</v>
      </c>
    </row>
    <row r="12" spans="1:3" x14ac:dyDescent="0.25">
      <c r="A12" s="3" t="s">
        <v>21</v>
      </c>
      <c r="B12" s="4">
        <v>31052722.809999999</v>
      </c>
      <c r="C12" s="4">
        <v>31116955.890000001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1:T49"/>
  <sheetViews>
    <sheetView tabSelected="1" topLeftCell="A2" zoomScale="96" zoomScaleNormal="96" workbookViewId="0">
      <selection activeCell="U11" sqref="U11"/>
    </sheetView>
  </sheetViews>
  <sheetFormatPr defaultRowHeight="15" x14ac:dyDescent="0.25"/>
  <cols>
    <col min="9" max="9" width="9.42578125" customWidth="1"/>
    <col min="10" max="13" width="0" hidden="1" customWidth="1"/>
    <col min="16" max="16" width="20.42578125" bestFit="1" customWidth="1"/>
  </cols>
  <sheetData>
    <row r="21" spans="11:12" x14ac:dyDescent="0.25">
      <c r="K21" s="9" t="s">
        <v>30</v>
      </c>
      <c r="L21" t="s">
        <v>18</v>
      </c>
    </row>
    <row r="22" spans="11:12" x14ac:dyDescent="0.25">
      <c r="K22" s="10">
        <f>SUM(revenue_forecasting_dataset!E:E)</f>
        <v>31051682.210000001</v>
      </c>
      <c r="L22" t="s">
        <v>28</v>
      </c>
    </row>
    <row r="23" spans="11:12" x14ac:dyDescent="0.25">
      <c r="K23" s="9" t="e">
        <f>#REF! - K22</f>
        <v>#REF!</v>
      </c>
      <c r="L23" t="s">
        <v>20</v>
      </c>
    </row>
    <row r="24" spans="11:12" x14ac:dyDescent="0.25">
      <c r="K24" s="11" t="e">
        <f xml:space="preserve"> K23 /#REF!</f>
        <v>#REF!</v>
      </c>
      <c r="L24" t="s">
        <v>17</v>
      </c>
    </row>
    <row r="34" spans="3:20" x14ac:dyDescent="0.25">
      <c r="P34" s="3"/>
      <c r="Q34" s="4"/>
      <c r="R34" s="3"/>
    </row>
    <row r="35" spans="3:20" x14ac:dyDescent="0.25">
      <c r="F35" s="3"/>
      <c r="G35" s="4"/>
    </row>
    <row r="36" spans="3:20" x14ac:dyDescent="0.25">
      <c r="F36" s="3"/>
      <c r="G36" s="4"/>
    </row>
    <row r="37" spans="3:20" x14ac:dyDescent="0.25">
      <c r="F37" s="3"/>
      <c r="G37" s="4"/>
    </row>
    <row r="38" spans="3:20" x14ac:dyDescent="0.25">
      <c r="C38" s="3"/>
      <c r="F38" s="3"/>
      <c r="G38" s="4"/>
      <c r="M38" s="3"/>
      <c r="P38" s="3"/>
      <c r="Q38" s="4"/>
      <c r="R38" s="4"/>
      <c r="S38" s="4"/>
      <c r="T38" s="4"/>
    </row>
    <row r="39" spans="3:20" x14ac:dyDescent="0.25">
      <c r="C39" s="3"/>
      <c r="F39" s="3"/>
      <c r="G39" s="4"/>
      <c r="M39" s="3"/>
      <c r="P39" s="3"/>
      <c r="Q39" s="4"/>
      <c r="R39" s="4"/>
      <c r="S39" s="4"/>
      <c r="T39" s="4"/>
    </row>
    <row r="40" spans="3:20" x14ac:dyDescent="0.25">
      <c r="C40" s="3"/>
      <c r="F40" s="3"/>
      <c r="G40" s="4"/>
      <c r="P40" s="3"/>
      <c r="Q40" s="4"/>
      <c r="R40" s="4"/>
      <c r="S40" s="4"/>
      <c r="T40" s="4"/>
    </row>
    <row r="41" spans="3:20" x14ac:dyDescent="0.25">
      <c r="C41" s="3"/>
      <c r="F41" s="3"/>
      <c r="G41" s="4"/>
      <c r="M41" s="4"/>
      <c r="P41" s="3"/>
      <c r="Q41" s="4"/>
      <c r="R41" s="4"/>
      <c r="S41" s="4"/>
      <c r="T41" s="4"/>
    </row>
    <row r="42" spans="3:20" x14ac:dyDescent="0.25">
      <c r="C42" s="3"/>
      <c r="F42" s="3"/>
      <c r="G42" s="4"/>
      <c r="M42" s="4"/>
      <c r="P42" s="3"/>
      <c r="Q42" s="4"/>
      <c r="R42" s="4"/>
      <c r="S42" s="4"/>
      <c r="T42" s="4"/>
    </row>
    <row r="43" spans="3:20" x14ac:dyDescent="0.25">
      <c r="C43" s="3"/>
      <c r="D43" s="4"/>
      <c r="E43" s="4"/>
      <c r="F43" s="3"/>
      <c r="G43" s="4"/>
      <c r="M43" s="4"/>
      <c r="P43" s="3"/>
      <c r="Q43" s="4"/>
      <c r="R43" s="4"/>
      <c r="S43" s="4"/>
      <c r="T43" s="4"/>
    </row>
    <row r="44" spans="3:20" x14ac:dyDescent="0.25">
      <c r="C44" s="3"/>
      <c r="D44" s="4"/>
      <c r="E44" s="4"/>
      <c r="F44" s="3"/>
      <c r="G44" s="4"/>
      <c r="M44" s="4"/>
      <c r="P44" s="3"/>
      <c r="Q44" s="4"/>
      <c r="R44" s="4"/>
      <c r="S44" s="4"/>
      <c r="T44" s="4"/>
    </row>
    <row r="45" spans="3:20" x14ac:dyDescent="0.25">
      <c r="C45" s="3"/>
      <c r="D45" s="4"/>
      <c r="E45" s="4"/>
      <c r="F45" s="3"/>
      <c r="G45" s="4"/>
      <c r="M45" s="4"/>
      <c r="P45" s="3"/>
      <c r="Q45" s="4"/>
      <c r="R45" s="4"/>
      <c r="S45" s="4"/>
      <c r="T45" s="4"/>
    </row>
    <row r="46" spans="3:20" x14ac:dyDescent="0.25">
      <c r="C46" s="3"/>
      <c r="D46" s="4"/>
      <c r="E46" s="4"/>
      <c r="F46" s="3"/>
      <c r="G46" s="4"/>
      <c r="H46" s="4"/>
      <c r="I46" s="3"/>
      <c r="J46" s="4"/>
      <c r="K46" s="4"/>
      <c r="L46" s="4"/>
      <c r="M46" s="4"/>
      <c r="P46" s="3"/>
      <c r="Q46" s="4"/>
      <c r="R46" s="4"/>
      <c r="S46" s="4"/>
      <c r="T46" s="4"/>
    </row>
    <row r="47" spans="3:20" x14ac:dyDescent="0.25">
      <c r="F47" s="3"/>
      <c r="G47" s="4"/>
      <c r="H47" s="4"/>
      <c r="I47" s="3"/>
      <c r="J47" s="4"/>
      <c r="K47" s="4"/>
      <c r="L47" s="4"/>
      <c r="M47" s="4"/>
    </row>
    <row r="48" spans="3:20" x14ac:dyDescent="0.25">
      <c r="I48" s="3"/>
      <c r="J48" s="4"/>
      <c r="K48" s="4"/>
      <c r="L48" s="4"/>
      <c r="M48" s="4"/>
    </row>
    <row r="49" spans="9:13" x14ac:dyDescent="0.25">
      <c r="I49" s="3"/>
      <c r="J49" s="4"/>
      <c r="K49" s="4"/>
      <c r="L49" s="4"/>
      <c r="M49" s="4"/>
    </row>
  </sheetData>
  <conditionalFormatting sqref="K23">
    <cfRule type="cellIs" dxfId="9" priority="1" operator="lessThan">
      <formula>0</formula>
    </cfRule>
    <cfRule type="cellIs" dxfId="8" priority="2" operator="greaterThanOrEqual">
      <formula>0</formula>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
  <sheetViews>
    <sheetView workbookViewId="0">
      <selection activeCell="F17" sqref="F17"/>
    </sheetView>
  </sheetViews>
  <sheetFormatPr defaultRowHeight="15" x14ac:dyDescent="0.25"/>
  <cols>
    <col min="1" max="1" width="13.140625" bestFit="1" customWidth="1"/>
    <col min="2" max="2" width="13.28515625" bestFit="1" customWidth="1"/>
  </cols>
  <sheetData>
    <row r="1" spans="1:2" x14ac:dyDescent="0.25">
      <c r="A1" t="s">
        <v>26</v>
      </c>
    </row>
    <row r="3" spans="1:2" x14ac:dyDescent="0.25">
      <c r="A3" s="2" t="s">
        <v>0</v>
      </c>
      <c r="B3" t="s">
        <v>28</v>
      </c>
    </row>
    <row r="4" spans="1:2" x14ac:dyDescent="0.25">
      <c r="A4" s="6">
        <v>45658</v>
      </c>
      <c r="B4" s="4">
        <v>2353473.21</v>
      </c>
    </row>
    <row r="5" spans="1:2" x14ac:dyDescent="0.25">
      <c r="A5" s="6">
        <v>45689</v>
      </c>
      <c r="B5" s="4">
        <v>2696381.5</v>
      </c>
    </row>
    <row r="6" spans="1:2" x14ac:dyDescent="0.25">
      <c r="A6" s="6">
        <v>45717</v>
      </c>
      <c r="B6" s="4">
        <v>2513143.0100000002</v>
      </c>
    </row>
    <row r="7" spans="1:2" x14ac:dyDescent="0.25">
      <c r="A7" s="6">
        <v>45748</v>
      </c>
      <c r="B7" s="4">
        <v>2591311.7400000002</v>
      </c>
    </row>
    <row r="8" spans="1:2" x14ac:dyDescent="0.25">
      <c r="A8" s="6">
        <v>45778</v>
      </c>
      <c r="B8" s="4">
        <v>2909515.65</v>
      </c>
    </row>
    <row r="9" spans="1:2" x14ac:dyDescent="0.25">
      <c r="A9" s="6">
        <v>45809</v>
      </c>
      <c r="B9" s="4">
        <v>2631083.29</v>
      </c>
    </row>
    <row r="10" spans="1:2" x14ac:dyDescent="0.25">
      <c r="A10" s="6">
        <v>45839</v>
      </c>
      <c r="B10" s="4">
        <v>2787106.1900000004</v>
      </c>
    </row>
    <row r="11" spans="1:2" x14ac:dyDescent="0.25">
      <c r="A11" s="6">
        <v>45870</v>
      </c>
      <c r="B11" s="4">
        <v>2442748.87</v>
      </c>
    </row>
    <row r="12" spans="1:2" x14ac:dyDescent="0.25">
      <c r="A12" s="6">
        <v>45901</v>
      </c>
      <c r="B12" s="4">
        <v>2589374.69</v>
      </c>
    </row>
    <row r="13" spans="1:2" x14ac:dyDescent="0.25">
      <c r="A13" s="6">
        <v>45931</v>
      </c>
      <c r="B13" s="4">
        <v>2406358.8199999998</v>
      </c>
    </row>
    <row r="14" spans="1:2" x14ac:dyDescent="0.25">
      <c r="A14" s="6">
        <v>45962</v>
      </c>
      <c r="B14" s="4">
        <v>2531393.6799999997</v>
      </c>
    </row>
    <row r="15" spans="1:2" x14ac:dyDescent="0.25">
      <c r="A15" s="6">
        <v>45992</v>
      </c>
      <c r="B15" s="4">
        <v>2665065.2399999998</v>
      </c>
    </row>
    <row r="16" spans="1:2" x14ac:dyDescent="0.25">
      <c r="A16" s="6" t="s">
        <v>21</v>
      </c>
      <c r="B16" s="4">
        <v>31116955.890000004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2"/>
  <sheetViews>
    <sheetView workbookViewId="0">
      <selection activeCell="Q9" sqref="Q9"/>
    </sheetView>
  </sheetViews>
  <sheetFormatPr defaultRowHeight="15" x14ac:dyDescent="0.25"/>
  <cols>
    <col min="1" max="1" width="16.85546875" bestFit="1" customWidth="1"/>
    <col min="2" max="2" width="10" bestFit="1" customWidth="1"/>
  </cols>
  <sheetData>
    <row r="3" spans="1:2" x14ac:dyDescent="0.25">
      <c r="A3" s="2" t="s">
        <v>0</v>
      </c>
      <c r="B3" t="s">
        <v>24</v>
      </c>
    </row>
    <row r="4" spans="1:2" x14ac:dyDescent="0.25">
      <c r="A4" s="3" t="s">
        <v>11</v>
      </c>
      <c r="B4" s="4">
        <v>101315.35</v>
      </c>
    </row>
    <row r="5" spans="1:2" x14ac:dyDescent="0.25">
      <c r="A5" s="3" t="s">
        <v>9</v>
      </c>
      <c r="B5" s="4">
        <v>-37548.509999999995</v>
      </c>
    </row>
    <row r="6" spans="1:2" x14ac:dyDescent="0.25">
      <c r="A6" s="3" t="s">
        <v>6</v>
      </c>
      <c r="B6" s="4">
        <v>-14769.680000000004</v>
      </c>
    </row>
    <row r="7" spans="1:2" x14ac:dyDescent="0.25">
      <c r="A7" s="3" t="s">
        <v>5</v>
      </c>
      <c r="B7" s="4">
        <v>-29558.310000000012</v>
      </c>
    </row>
    <row r="8" spans="1:2" x14ac:dyDescent="0.25">
      <c r="A8" s="3" t="s">
        <v>8</v>
      </c>
      <c r="B8" s="4">
        <v>104353.01</v>
      </c>
    </row>
    <row r="9" spans="1:2" x14ac:dyDescent="0.25">
      <c r="A9" s="3" t="s">
        <v>10</v>
      </c>
      <c r="B9" s="4">
        <v>-76631.89999999998</v>
      </c>
    </row>
    <row r="10" spans="1:2" x14ac:dyDescent="0.25">
      <c r="A10" s="3" t="s">
        <v>12</v>
      </c>
      <c r="B10" s="4">
        <v>5119.0099999999966</v>
      </c>
    </row>
    <row r="11" spans="1:2" x14ac:dyDescent="0.25">
      <c r="A11" s="3" t="s">
        <v>7</v>
      </c>
      <c r="B11" s="4">
        <v>11954.11</v>
      </c>
    </row>
    <row r="12" spans="1:2" x14ac:dyDescent="0.25">
      <c r="A12" s="3" t="s">
        <v>21</v>
      </c>
      <c r="B12" s="4">
        <v>64233.08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15"/>
  <sheetViews>
    <sheetView topLeftCell="D1" workbookViewId="0">
      <selection activeCell="H2" sqref="H2:L11"/>
    </sheetView>
  </sheetViews>
  <sheetFormatPr defaultRowHeight="15" x14ac:dyDescent="0.25"/>
  <cols>
    <col min="1" max="1" width="16.85546875" bestFit="1" customWidth="1"/>
    <col min="2" max="2" width="14" bestFit="1" customWidth="1"/>
    <col min="3" max="3" width="13.28515625" bestFit="1" customWidth="1"/>
    <col min="4" max="4" width="31.42578125" bestFit="1" customWidth="1"/>
    <col min="5" max="5" width="25.7109375" bestFit="1" customWidth="1"/>
    <col min="9" max="9" width="16.85546875" bestFit="1" customWidth="1"/>
    <col min="10" max="10" width="12.140625" bestFit="1" customWidth="1"/>
    <col min="11" max="11" width="12" bestFit="1" customWidth="1"/>
    <col min="12" max="12" width="10" bestFit="1" customWidth="1"/>
    <col min="13" max="13" width="11.140625" bestFit="1" customWidth="1"/>
  </cols>
  <sheetData>
    <row r="2" spans="1:12" x14ac:dyDescent="0.25">
      <c r="H2" s="2" t="s">
        <v>0</v>
      </c>
      <c r="I2" s="2" t="s">
        <v>22</v>
      </c>
      <c r="J2" t="s">
        <v>28</v>
      </c>
      <c r="K2" t="s">
        <v>24</v>
      </c>
      <c r="L2" t="s">
        <v>53</v>
      </c>
    </row>
    <row r="3" spans="1:12" x14ac:dyDescent="0.25">
      <c r="A3" s="2" t="s">
        <v>0</v>
      </c>
      <c r="B3" t="s">
        <v>22</v>
      </c>
      <c r="C3" t="s">
        <v>28</v>
      </c>
      <c r="D3" t="s">
        <v>24</v>
      </c>
      <c r="E3" t="s">
        <v>53</v>
      </c>
      <c r="H3" s="3" t="s">
        <v>11</v>
      </c>
      <c r="I3" s="4">
        <v>3857751.1500000004</v>
      </c>
      <c r="J3" s="4">
        <v>3959066.5</v>
      </c>
      <c r="K3" s="4">
        <v>101315.35</v>
      </c>
      <c r="L3" s="4">
        <v>0.31020000000000003</v>
      </c>
    </row>
    <row r="4" spans="1:12" x14ac:dyDescent="0.25">
      <c r="A4" s="3" t="s">
        <v>11</v>
      </c>
      <c r="B4" s="4">
        <v>3857751.1500000004</v>
      </c>
      <c r="C4" s="4">
        <v>3959066.5</v>
      </c>
      <c r="D4" s="4">
        <v>101315.35</v>
      </c>
      <c r="E4" s="4">
        <v>0.31020000000000003</v>
      </c>
      <c r="H4" s="3" t="s">
        <v>9</v>
      </c>
      <c r="I4" s="4">
        <v>3921553.98</v>
      </c>
      <c r="J4" s="4">
        <v>3884005.47</v>
      </c>
      <c r="K4" s="4">
        <v>-37548.509999999995</v>
      </c>
      <c r="L4" s="4">
        <v>-9.7200000000000022E-2</v>
      </c>
    </row>
    <row r="5" spans="1:12" x14ac:dyDescent="0.25">
      <c r="A5" s="3" t="s">
        <v>9</v>
      </c>
      <c r="B5" s="4">
        <v>3921553.98</v>
      </c>
      <c r="C5" s="4">
        <v>3884005.47</v>
      </c>
      <c r="D5" s="4">
        <v>-37548.509999999995</v>
      </c>
      <c r="E5" s="4">
        <v>-9.7200000000000022E-2</v>
      </c>
      <c r="H5" s="3" t="s">
        <v>6</v>
      </c>
      <c r="I5" s="4">
        <v>3814596.71</v>
      </c>
      <c r="J5" s="4">
        <v>3799827.03</v>
      </c>
      <c r="K5" s="4">
        <v>-14769.680000000004</v>
      </c>
      <c r="L5" s="4">
        <v>-6.8299999999999972E-2</v>
      </c>
    </row>
    <row r="6" spans="1:12" x14ac:dyDescent="0.25">
      <c r="A6" s="3" t="s">
        <v>6</v>
      </c>
      <c r="B6" s="4">
        <v>3814596.71</v>
      </c>
      <c r="C6" s="4">
        <v>3799827.03</v>
      </c>
      <c r="D6" s="4">
        <v>-14769.680000000004</v>
      </c>
      <c r="E6" s="4">
        <v>-6.8299999999999972E-2</v>
      </c>
      <c r="H6" s="3" t="s">
        <v>5</v>
      </c>
      <c r="I6" s="4">
        <v>3878006.36</v>
      </c>
      <c r="J6" s="4">
        <v>3848448.05</v>
      </c>
      <c r="K6" s="4">
        <v>-29558.310000000012</v>
      </c>
      <c r="L6" s="4">
        <v>-7.8799999999999995E-2</v>
      </c>
    </row>
    <row r="7" spans="1:12" x14ac:dyDescent="0.25">
      <c r="A7" s="3" t="s">
        <v>5</v>
      </c>
      <c r="B7" s="4">
        <v>3878006.36</v>
      </c>
      <c r="C7" s="4">
        <v>3848448.05</v>
      </c>
      <c r="D7" s="4">
        <v>-29558.310000000012</v>
      </c>
      <c r="E7" s="4">
        <v>-7.8799999999999995E-2</v>
      </c>
      <c r="H7" s="3" t="s">
        <v>8</v>
      </c>
      <c r="I7" s="13">
        <v>3677209.13</v>
      </c>
      <c r="J7" s="4">
        <v>3781562.1399999997</v>
      </c>
      <c r="K7" s="4">
        <v>104353.01</v>
      </c>
      <c r="L7" s="4">
        <v>0.29959999999999998</v>
      </c>
    </row>
    <row r="8" spans="1:12" x14ac:dyDescent="0.25">
      <c r="A8" s="3" t="s">
        <v>8</v>
      </c>
      <c r="B8" s="4">
        <v>3677209.13</v>
      </c>
      <c r="C8" s="4">
        <v>3781562.1399999997</v>
      </c>
      <c r="D8" s="4">
        <v>104353.01</v>
      </c>
      <c r="E8" s="4">
        <v>0.29959999999999998</v>
      </c>
      <c r="H8" s="3" t="s">
        <v>10</v>
      </c>
      <c r="I8" s="4">
        <v>3981190.2199999997</v>
      </c>
      <c r="J8" s="4">
        <v>3904558.3200000003</v>
      </c>
      <c r="K8" s="4">
        <v>-76631.89999999998</v>
      </c>
      <c r="L8" s="4">
        <v>-0.25240000000000007</v>
      </c>
    </row>
    <row r="9" spans="1:12" x14ac:dyDescent="0.25">
      <c r="A9" s="3" t="s">
        <v>10</v>
      </c>
      <c r="B9" s="4">
        <v>3981190.2199999997</v>
      </c>
      <c r="C9" s="4">
        <v>3904558.3200000003</v>
      </c>
      <c r="D9" s="4">
        <v>-76631.89999999998</v>
      </c>
      <c r="E9" s="4">
        <v>-0.25240000000000007</v>
      </c>
      <c r="H9" s="3" t="s">
        <v>12</v>
      </c>
      <c r="I9" s="4">
        <v>4241418.7299999995</v>
      </c>
      <c r="J9" s="4">
        <v>4246537.74</v>
      </c>
      <c r="K9" s="4">
        <v>5119.0099999999966</v>
      </c>
      <c r="L9" s="4">
        <v>2.3E-3</v>
      </c>
    </row>
    <row r="10" spans="1:12" x14ac:dyDescent="0.25">
      <c r="A10" s="3" t="s">
        <v>12</v>
      </c>
      <c r="B10" s="4">
        <v>4241418.7299999995</v>
      </c>
      <c r="C10" s="4">
        <v>4246537.74</v>
      </c>
      <c r="D10" s="4">
        <v>5119.0099999999966</v>
      </c>
      <c r="E10" s="4">
        <v>2.3E-3</v>
      </c>
      <c r="H10" s="3" t="s">
        <v>7</v>
      </c>
      <c r="I10" s="4">
        <v>3680996.5300000003</v>
      </c>
      <c r="J10" s="4">
        <v>3692950.6399999997</v>
      </c>
      <c r="K10" s="4">
        <v>11954.11</v>
      </c>
      <c r="L10" s="4">
        <v>2.1600000000000001E-2</v>
      </c>
    </row>
    <row r="11" spans="1:12" x14ac:dyDescent="0.25">
      <c r="A11" s="3" t="s">
        <v>7</v>
      </c>
      <c r="B11" s="4">
        <v>3680996.5300000003</v>
      </c>
      <c r="C11" s="4">
        <v>3692950.6399999997</v>
      </c>
      <c r="D11" s="4">
        <v>11954.11</v>
      </c>
      <c r="E11" s="4">
        <v>2.1600000000000001E-2</v>
      </c>
      <c r="H11" s="3" t="s">
        <v>21</v>
      </c>
      <c r="I11" s="4">
        <v>31052722.809999999</v>
      </c>
      <c r="J11" s="4">
        <v>31116955.890000001</v>
      </c>
      <c r="K11" s="4">
        <v>64233.08</v>
      </c>
      <c r="L11" s="4">
        <v>0.13699999999999998</v>
      </c>
    </row>
    <row r="12" spans="1:12" x14ac:dyDescent="0.25">
      <c r="A12" s="3" t="s">
        <v>21</v>
      </c>
      <c r="B12" s="4">
        <v>31052722.809999999</v>
      </c>
      <c r="C12" s="4">
        <v>31116955.890000001</v>
      </c>
      <c r="D12" s="4">
        <v>64233.08</v>
      </c>
      <c r="E12" s="4">
        <v>0.13699999999999998</v>
      </c>
      <c r="H12" s="4"/>
    </row>
    <row r="13" spans="1:12" x14ac:dyDescent="0.25">
      <c r="H13" s="4"/>
    </row>
    <row r="14" spans="1:12" x14ac:dyDescent="0.25">
      <c r="H14" s="4"/>
    </row>
    <row r="15" spans="1:12" x14ac:dyDescent="0.25">
      <c r="H15" s="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3"/>
  <sheetViews>
    <sheetView topLeftCell="A2" workbookViewId="0">
      <selection activeCell="S12" sqref="S12"/>
    </sheetView>
  </sheetViews>
  <sheetFormatPr defaultRowHeight="15" x14ac:dyDescent="0.25"/>
  <cols>
    <col min="1" max="1" width="13.85546875" customWidth="1"/>
    <col min="2" max="2" width="10.42578125" bestFit="1" customWidth="1"/>
    <col min="3" max="3" width="9.42578125" customWidth="1"/>
    <col min="5" max="5" width="0" hidden="1" customWidth="1"/>
    <col min="6" max="6" width="26.28515625" customWidth="1"/>
    <col min="7" max="7" width="0" hidden="1" customWidth="1"/>
    <col min="8" max="8" width="20.7109375" customWidth="1"/>
    <col min="9" max="9" width="0" hidden="1" customWidth="1"/>
  </cols>
  <sheetData>
    <row r="1" spans="1:9" x14ac:dyDescent="0.25">
      <c r="A1" t="s">
        <v>0</v>
      </c>
      <c r="B1" t="s">
        <v>1</v>
      </c>
      <c r="C1" t="s">
        <v>2</v>
      </c>
      <c r="D1" t="s">
        <v>3</v>
      </c>
      <c r="E1" t="s">
        <v>4</v>
      </c>
      <c r="F1" t="s">
        <v>13</v>
      </c>
      <c r="G1" t="s">
        <v>14</v>
      </c>
      <c r="H1" t="s">
        <v>15</v>
      </c>
      <c r="I1" t="s">
        <v>16</v>
      </c>
    </row>
    <row r="2" spans="1:9" x14ac:dyDescent="0.25">
      <c r="A2" t="s">
        <v>5</v>
      </c>
      <c r="B2" s="1">
        <v>45658</v>
      </c>
      <c r="C2">
        <v>306181.02</v>
      </c>
      <c r="D2">
        <v>333781.05</v>
      </c>
      <c r="E2">
        <v>313284.23</v>
      </c>
      <c r="F2">
        <v>27600.03</v>
      </c>
      <c r="G2">
        <v>20496.82</v>
      </c>
      <c r="H2">
        <v>9.01E-2</v>
      </c>
      <c r="I2">
        <v>6.54E-2</v>
      </c>
    </row>
    <row r="3" spans="1:9" x14ac:dyDescent="0.25">
      <c r="A3" t="s">
        <v>5</v>
      </c>
      <c r="B3" s="1">
        <v>45689</v>
      </c>
      <c r="C3">
        <v>339798.77</v>
      </c>
      <c r="D3">
        <v>316421.88</v>
      </c>
      <c r="E3">
        <v>328109.51</v>
      </c>
      <c r="F3">
        <v>-23376.89</v>
      </c>
      <c r="G3">
        <v>-11687.63</v>
      </c>
      <c r="H3">
        <v>-6.88E-2</v>
      </c>
      <c r="I3">
        <v>-3.56E-2</v>
      </c>
    </row>
    <row r="4" spans="1:9" x14ac:dyDescent="0.25">
      <c r="A4" t="s">
        <v>5</v>
      </c>
      <c r="B4" s="1">
        <v>45717</v>
      </c>
      <c r="C4">
        <v>258712.54</v>
      </c>
      <c r="D4">
        <v>277659.40999999997</v>
      </c>
      <c r="E4">
        <v>261328.51</v>
      </c>
      <c r="F4">
        <v>18946.87</v>
      </c>
      <c r="G4">
        <v>16330.9</v>
      </c>
      <c r="H4">
        <v>7.3200000000000001E-2</v>
      </c>
      <c r="I4">
        <v>6.25E-2</v>
      </c>
    </row>
    <row r="5" spans="1:9" x14ac:dyDescent="0.25">
      <c r="A5" t="s">
        <v>5</v>
      </c>
      <c r="B5" s="1">
        <v>45748</v>
      </c>
      <c r="C5">
        <v>356210.89</v>
      </c>
      <c r="D5">
        <v>322056.28000000003</v>
      </c>
      <c r="E5">
        <v>372949.59</v>
      </c>
      <c r="F5">
        <v>-34154.61</v>
      </c>
      <c r="G5">
        <v>-50893.31</v>
      </c>
      <c r="H5">
        <v>-9.5899999999999999E-2</v>
      </c>
      <c r="I5">
        <v>-0.13650000000000001</v>
      </c>
    </row>
    <row r="6" spans="1:9" x14ac:dyDescent="0.25">
      <c r="A6" t="s">
        <v>5</v>
      </c>
      <c r="B6" s="1">
        <v>45778</v>
      </c>
      <c r="C6">
        <v>374866.4</v>
      </c>
      <c r="D6">
        <v>353299.52</v>
      </c>
      <c r="E6">
        <v>362939.08</v>
      </c>
      <c r="F6">
        <v>-21566.880000000001</v>
      </c>
      <c r="G6">
        <v>-9639.56</v>
      </c>
      <c r="H6">
        <v>-5.7500000000000002E-2</v>
      </c>
      <c r="I6">
        <v>-2.6599999999999999E-2</v>
      </c>
    </row>
    <row r="7" spans="1:9" x14ac:dyDescent="0.25">
      <c r="A7" t="s">
        <v>5</v>
      </c>
      <c r="B7" s="1">
        <v>45809</v>
      </c>
      <c r="C7">
        <v>277510.68</v>
      </c>
      <c r="D7">
        <v>266645.7</v>
      </c>
      <c r="E7">
        <v>278197.69</v>
      </c>
      <c r="F7">
        <v>-10864.98</v>
      </c>
      <c r="G7">
        <v>-11551.99</v>
      </c>
      <c r="H7">
        <v>-3.9199999999999999E-2</v>
      </c>
      <c r="I7">
        <v>-4.1500000000000002E-2</v>
      </c>
    </row>
    <row r="8" spans="1:9" x14ac:dyDescent="0.25">
      <c r="A8" t="s">
        <v>5</v>
      </c>
      <c r="B8" s="1">
        <v>45839</v>
      </c>
      <c r="C8">
        <v>314791.75</v>
      </c>
      <c r="D8">
        <v>301647.88</v>
      </c>
      <c r="E8">
        <v>318312.78999999998</v>
      </c>
      <c r="F8">
        <v>-13143.87</v>
      </c>
      <c r="G8">
        <v>-16664.91</v>
      </c>
      <c r="H8">
        <v>-4.1799999999999997E-2</v>
      </c>
      <c r="I8">
        <v>-5.2400000000000002E-2</v>
      </c>
    </row>
    <row r="9" spans="1:9" x14ac:dyDescent="0.25">
      <c r="A9" t="s">
        <v>5</v>
      </c>
      <c r="B9" s="1">
        <v>45870</v>
      </c>
      <c r="C9">
        <v>270924.08</v>
      </c>
      <c r="D9">
        <v>259661.48</v>
      </c>
      <c r="E9">
        <v>267303.5</v>
      </c>
      <c r="F9">
        <v>-11262.6</v>
      </c>
      <c r="G9">
        <v>-7642.02</v>
      </c>
      <c r="H9">
        <v>-4.1599999999999998E-2</v>
      </c>
      <c r="I9">
        <v>-2.86E-2</v>
      </c>
    </row>
    <row r="10" spans="1:9" x14ac:dyDescent="0.25">
      <c r="A10" t="s">
        <v>5</v>
      </c>
      <c r="B10" s="1">
        <v>45901</v>
      </c>
      <c r="C10">
        <v>318410.5</v>
      </c>
      <c r="D10">
        <v>336571.1</v>
      </c>
      <c r="E10">
        <v>308847.8</v>
      </c>
      <c r="F10">
        <v>18160.599999999999</v>
      </c>
      <c r="G10">
        <v>27723.3</v>
      </c>
      <c r="H10">
        <v>5.7000000000000002E-2</v>
      </c>
      <c r="I10">
        <v>8.9800000000000005E-2</v>
      </c>
    </row>
    <row r="11" spans="1:9" x14ac:dyDescent="0.25">
      <c r="A11" t="s">
        <v>5</v>
      </c>
      <c r="B11" s="1">
        <v>45931</v>
      </c>
      <c r="C11">
        <v>327135.17</v>
      </c>
      <c r="D11">
        <v>333181.58</v>
      </c>
      <c r="E11">
        <v>312297.96000000002</v>
      </c>
      <c r="F11">
        <v>6046.41</v>
      </c>
      <c r="G11">
        <v>20883.62</v>
      </c>
      <c r="H11">
        <v>1.8499999999999999E-2</v>
      </c>
      <c r="I11">
        <v>6.6900000000000001E-2</v>
      </c>
    </row>
    <row r="12" spans="1:9" x14ac:dyDescent="0.25">
      <c r="A12" t="s">
        <v>5</v>
      </c>
      <c r="B12" s="1">
        <v>45962</v>
      </c>
      <c r="C12">
        <v>341131.73</v>
      </c>
      <c r="D12">
        <v>318652.78999999998</v>
      </c>
      <c r="E12">
        <v>326294.26</v>
      </c>
      <c r="F12">
        <v>-22478.94</v>
      </c>
      <c r="G12">
        <v>-7641.47</v>
      </c>
      <c r="H12">
        <v>-6.59E-2</v>
      </c>
      <c r="I12">
        <v>-2.3400000000000001E-2</v>
      </c>
    </row>
    <row r="13" spans="1:9" x14ac:dyDescent="0.25">
      <c r="A13" t="s">
        <v>5</v>
      </c>
      <c r="B13" s="1">
        <v>45992</v>
      </c>
      <c r="C13">
        <v>392332.83</v>
      </c>
      <c r="D13">
        <v>428869.38</v>
      </c>
      <c r="E13">
        <v>404432.27</v>
      </c>
      <c r="F13">
        <v>36536.550000000003</v>
      </c>
      <c r="G13">
        <v>24437.11</v>
      </c>
      <c r="H13">
        <v>9.3100000000000002E-2</v>
      </c>
      <c r="I13">
        <v>6.0400000000000002E-2</v>
      </c>
    </row>
    <row r="14" spans="1:9" x14ac:dyDescent="0.25">
      <c r="A14" t="s">
        <v>6</v>
      </c>
      <c r="B14" s="1">
        <v>45658</v>
      </c>
      <c r="C14">
        <v>295692.07</v>
      </c>
      <c r="D14">
        <v>271899.03000000003</v>
      </c>
      <c r="E14">
        <v>301139.69</v>
      </c>
      <c r="F14">
        <v>-23793.040000000001</v>
      </c>
      <c r="G14">
        <v>-29240.66</v>
      </c>
      <c r="H14">
        <v>-8.0500000000000002E-2</v>
      </c>
      <c r="I14">
        <v>-9.7100000000000006E-2</v>
      </c>
    </row>
    <row r="15" spans="1:9" x14ac:dyDescent="0.25">
      <c r="A15" t="s">
        <v>6</v>
      </c>
      <c r="B15" s="1">
        <v>45689</v>
      </c>
      <c r="C15">
        <v>316022.87</v>
      </c>
      <c r="D15">
        <v>292133.96000000002</v>
      </c>
      <c r="E15">
        <v>315870.45</v>
      </c>
      <c r="F15">
        <v>-23888.91</v>
      </c>
      <c r="G15">
        <v>-23736.49</v>
      </c>
      <c r="H15">
        <v>-7.5600000000000001E-2</v>
      </c>
      <c r="I15">
        <v>-7.51E-2</v>
      </c>
    </row>
    <row r="16" spans="1:9" x14ac:dyDescent="0.25">
      <c r="A16" t="s">
        <v>6</v>
      </c>
      <c r="B16" s="1">
        <v>45717</v>
      </c>
      <c r="C16">
        <v>255158.28</v>
      </c>
      <c r="D16">
        <v>276046.58</v>
      </c>
      <c r="E16">
        <v>249003.35</v>
      </c>
      <c r="F16">
        <v>20888.3</v>
      </c>
      <c r="G16">
        <v>27043.23</v>
      </c>
      <c r="H16">
        <v>8.1900000000000001E-2</v>
      </c>
      <c r="I16">
        <v>0.1086</v>
      </c>
    </row>
    <row r="17" spans="1:9" x14ac:dyDescent="0.25">
      <c r="A17" t="s">
        <v>6</v>
      </c>
      <c r="B17" s="1">
        <v>45748</v>
      </c>
      <c r="C17">
        <v>349378.34</v>
      </c>
      <c r="D17">
        <v>336221.53</v>
      </c>
      <c r="E17">
        <v>350079.48</v>
      </c>
      <c r="F17">
        <v>-13156.81</v>
      </c>
      <c r="G17">
        <v>-13857.95</v>
      </c>
      <c r="H17">
        <v>-3.7699999999999997E-2</v>
      </c>
      <c r="I17">
        <v>-3.9600000000000003E-2</v>
      </c>
    </row>
    <row r="18" spans="1:9" x14ac:dyDescent="0.25">
      <c r="A18" t="s">
        <v>6</v>
      </c>
      <c r="B18" s="1">
        <v>45778</v>
      </c>
      <c r="C18">
        <v>332006.53999999998</v>
      </c>
      <c r="D18">
        <v>311080.46999999997</v>
      </c>
      <c r="E18">
        <v>347597.06</v>
      </c>
      <c r="F18">
        <v>-20926.07</v>
      </c>
      <c r="G18">
        <v>-36516.589999999997</v>
      </c>
      <c r="H18">
        <v>-6.3E-2</v>
      </c>
      <c r="I18">
        <v>-0.1051</v>
      </c>
    </row>
    <row r="19" spans="1:9" x14ac:dyDescent="0.25">
      <c r="A19" t="s">
        <v>6</v>
      </c>
      <c r="B19" s="1">
        <v>45809</v>
      </c>
      <c r="C19">
        <v>366269.92</v>
      </c>
      <c r="D19">
        <v>398464.97</v>
      </c>
      <c r="E19">
        <v>380731.26</v>
      </c>
      <c r="F19">
        <v>32195.05</v>
      </c>
      <c r="G19">
        <v>17733.71</v>
      </c>
      <c r="H19">
        <v>8.7900000000000006E-2</v>
      </c>
      <c r="I19">
        <v>4.6600000000000003E-2</v>
      </c>
    </row>
    <row r="20" spans="1:9" x14ac:dyDescent="0.25">
      <c r="A20" t="s">
        <v>6</v>
      </c>
      <c r="B20" s="1">
        <v>45839</v>
      </c>
      <c r="C20">
        <v>339685</v>
      </c>
      <c r="D20">
        <v>368345.87</v>
      </c>
      <c r="E20">
        <v>325706.7</v>
      </c>
      <c r="F20">
        <v>28660.87</v>
      </c>
      <c r="G20">
        <v>42639.17</v>
      </c>
      <c r="H20">
        <v>8.4400000000000003E-2</v>
      </c>
      <c r="I20">
        <v>0.13089999999999999</v>
      </c>
    </row>
    <row r="21" spans="1:9" x14ac:dyDescent="0.25">
      <c r="A21" t="s">
        <v>6</v>
      </c>
      <c r="B21" s="1">
        <v>45870</v>
      </c>
      <c r="C21">
        <v>279397.43</v>
      </c>
      <c r="D21">
        <v>253984.96</v>
      </c>
      <c r="E21">
        <v>274517.2</v>
      </c>
      <c r="F21">
        <v>-25412.47</v>
      </c>
      <c r="G21">
        <v>-20532.240000000002</v>
      </c>
      <c r="H21">
        <v>-9.0999999999999998E-2</v>
      </c>
      <c r="I21">
        <v>-7.4800000000000005E-2</v>
      </c>
    </row>
    <row r="22" spans="1:9" x14ac:dyDescent="0.25">
      <c r="A22" t="s">
        <v>6</v>
      </c>
      <c r="B22" s="1">
        <v>45901</v>
      </c>
      <c r="C22">
        <v>308301.59000000003</v>
      </c>
      <c r="D22">
        <v>294202.90000000002</v>
      </c>
      <c r="E22">
        <v>318436.62</v>
      </c>
      <c r="F22">
        <v>-14098.69</v>
      </c>
      <c r="G22">
        <v>-24233.72</v>
      </c>
      <c r="H22">
        <v>-4.5699999999999998E-2</v>
      </c>
      <c r="I22">
        <v>-7.6100000000000001E-2</v>
      </c>
    </row>
    <row r="23" spans="1:9" x14ac:dyDescent="0.25">
      <c r="A23" t="s">
        <v>6</v>
      </c>
      <c r="B23" s="1">
        <v>45931</v>
      </c>
      <c r="C23">
        <v>303513</v>
      </c>
      <c r="D23">
        <v>290215.15000000002</v>
      </c>
      <c r="E23">
        <v>304808.88</v>
      </c>
      <c r="F23">
        <v>-13297.85</v>
      </c>
      <c r="G23">
        <v>-14593.73</v>
      </c>
      <c r="H23">
        <v>-4.3799999999999999E-2</v>
      </c>
      <c r="I23">
        <v>-4.7899999999999998E-2</v>
      </c>
    </row>
    <row r="24" spans="1:9" x14ac:dyDescent="0.25">
      <c r="A24" t="s">
        <v>6</v>
      </c>
      <c r="B24" s="1">
        <v>45962</v>
      </c>
      <c r="C24">
        <v>271138.63</v>
      </c>
      <c r="D24">
        <v>287526.09000000003</v>
      </c>
      <c r="E24">
        <v>259603.06</v>
      </c>
      <c r="F24">
        <v>16387.46</v>
      </c>
      <c r="G24">
        <v>27923.03</v>
      </c>
      <c r="H24">
        <v>6.0400000000000002E-2</v>
      </c>
      <c r="I24">
        <v>0.1076</v>
      </c>
    </row>
    <row r="25" spans="1:9" x14ac:dyDescent="0.25">
      <c r="A25" t="s">
        <v>6</v>
      </c>
      <c r="B25" s="1">
        <v>45992</v>
      </c>
      <c r="C25">
        <v>398033.04</v>
      </c>
      <c r="D25">
        <v>419705.52</v>
      </c>
      <c r="E25">
        <v>386040.93</v>
      </c>
      <c r="F25">
        <v>21672.48</v>
      </c>
      <c r="G25">
        <v>33664.589999999997</v>
      </c>
      <c r="H25">
        <v>5.4399999999999997E-2</v>
      </c>
      <c r="I25">
        <v>8.72E-2</v>
      </c>
    </row>
    <row r="26" spans="1:9" x14ac:dyDescent="0.25">
      <c r="A26" t="s">
        <v>7</v>
      </c>
      <c r="B26" s="1">
        <v>45658</v>
      </c>
      <c r="C26">
        <v>250828.32</v>
      </c>
      <c r="D26">
        <v>266653.65000000002</v>
      </c>
      <c r="E26">
        <v>256016.89</v>
      </c>
      <c r="F26">
        <v>15825.33</v>
      </c>
      <c r="G26">
        <v>10636.76</v>
      </c>
      <c r="H26">
        <v>6.3100000000000003E-2</v>
      </c>
      <c r="I26">
        <v>4.1500000000000002E-2</v>
      </c>
    </row>
    <row r="27" spans="1:9" x14ac:dyDescent="0.25">
      <c r="A27" t="s">
        <v>7</v>
      </c>
      <c r="B27" s="1">
        <v>45689</v>
      </c>
      <c r="C27">
        <v>359351.08</v>
      </c>
      <c r="D27">
        <v>378847.33</v>
      </c>
      <c r="E27">
        <v>344044.32</v>
      </c>
      <c r="F27">
        <v>19496.25</v>
      </c>
      <c r="G27">
        <v>34803.01</v>
      </c>
      <c r="H27">
        <v>5.4300000000000001E-2</v>
      </c>
      <c r="I27">
        <v>0.1012</v>
      </c>
    </row>
    <row r="28" spans="1:9" x14ac:dyDescent="0.25">
      <c r="A28" t="s">
        <v>7</v>
      </c>
      <c r="B28" s="1">
        <v>45717</v>
      </c>
      <c r="C28">
        <v>303769.86</v>
      </c>
      <c r="D28">
        <v>280432.38</v>
      </c>
      <c r="E28">
        <v>314799.84999999998</v>
      </c>
      <c r="F28">
        <v>-23337.48</v>
      </c>
      <c r="G28">
        <v>-34367.47</v>
      </c>
      <c r="H28">
        <v>-7.6799999999999993E-2</v>
      </c>
      <c r="I28">
        <v>-0.10920000000000001</v>
      </c>
    </row>
    <row r="29" spans="1:9" x14ac:dyDescent="0.25">
      <c r="A29" t="s">
        <v>7</v>
      </c>
      <c r="B29" s="1">
        <v>45748</v>
      </c>
      <c r="C29">
        <v>343494.72</v>
      </c>
      <c r="D29">
        <v>331877.59000000003</v>
      </c>
      <c r="E29">
        <v>328503.18</v>
      </c>
      <c r="F29">
        <v>-11617.13</v>
      </c>
      <c r="G29">
        <v>3374.41</v>
      </c>
      <c r="H29">
        <v>-3.3799999999999997E-2</v>
      </c>
      <c r="I29">
        <v>1.03E-2</v>
      </c>
    </row>
    <row r="30" spans="1:9" x14ac:dyDescent="0.25">
      <c r="A30" t="s">
        <v>7</v>
      </c>
      <c r="B30" s="1">
        <v>45778</v>
      </c>
      <c r="C30">
        <v>296647.34999999998</v>
      </c>
      <c r="D30">
        <v>286275.57</v>
      </c>
      <c r="E30">
        <v>303458.55</v>
      </c>
      <c r="F30">
        <v>-10371.780000000001</v>
      </c>
      <c r="G30">
        <v>-17182.98</v>
      </c>
      <c r="H30">
        <v>-3.5000000000000003E-2</v>
      </c>
      <c r="I30">
        <v>-5.6599999999999998E-2</v>
      </c>
    </row>
    <row r="31" spans="1:9" x14ac:dyDescent="0.25">
      <c r="A31" t="s">
        <v>7</v>
      </c>
      <c r="B31" s="1">
        <v>45809</v>
      </c>
      <c r="C31">
        <v>345633.62</v>
      </c>
      <c r="D31">
        <v>372400.37</v>
      </c>
      <c r="E31">
        <v>344673.28000000003</v>
      </c>
      <c r="F31">
        <v>26766.75</v>
      </c>
      <c r="G31">
        <v>27727.09</v>
      </c>
      <c r="H31">
        <v>7.7399999999999997E-2</v>
      </c>
      <c r="I31">
        <v>8.0399999999999999E-2</v>
      </c>
    </row>
    <row r="32" spans="1:9" x14ac:dyDescent="0.25">
      <c r="A32" t="s">
        <v>7</v>
      </c>
      <c r="B32" s="1">
        <v>45839</v>
      </c>
      <c r="C32">
        <v>267939.14</v>
      </c>
      <c r="D32">
        <v>279366.46000000002</v>
      </c>
      <c r="E32">
        <v>274926.59000000003</v>
      </c>
      <c r="F32">
        <v>11427.32</v>
      </c>
      <c r="G32">
        <v>4439.87</v>
      </c>
      <c r="H32">
        <v>4.2599999999999999E-2</v>
      </c>
      <c r="I32">
        <v>1.61E-2</v>
      </c>
    </row>
    <row r="33" spans="1:9" x14ac:dyDescent="0.25">
      <c r="A33" t="s">
        <v>7</v>
      </c>
      <c r="B33" s="1">
        <v>45870</v>
      </c>
      <c r="C33">
        <v>334191.58</v>
      </c>
      <c r="D33">
        <v>352302.57</v>
      </c>
      <c r="E33">
        <v>333984.23</v>
      </c>
      <c r="F33">
        <v>18110.990000000002</v>
      </c>
      <c r="G33">
        <v>18318.34</v>
      </c>
      <c r="H33">
        <v>5.4199999999999998E-2</v>
      </c>
      <c r="I33">
        <v>5.4800000000000001E-2</v>
      </c>
    </row>
    <row r="34" spans="1:9" x14ac:dyDescent="0.25">
      <c r="A34" t="s">
        <v>7</v>
      </c>
      <c r="B34" s="1">
        <v>45901</v>
      </c>
      <c r="C34">
        <v>328409.92</v>
      </c>
      <c r="D34">
        <v>323650.67</v>
      </c>
      <c r="E34">
        <v>312824.21999999997</v>
      </c>
      <c r="F34">
        <v>-4759.25</v>
      </c>
      <c r="G34">
        <v>10826.45</v>
      </c>
      <c r="H34">
        <v>-1.4500000000000001E-2</v>
      </c>
      <c r="I34">
        <v>3.4599999999999999E-2</v>
      </c>
    </row>
    <row r="35" spans="1:9" x14ac:dyDescent="0.25">
      <c r="A35" t="s">
        <v>7</v>
      </c>
      <c r="B35" s="1">
        <v>45931</v>
      </c>
      <c r="C35">
        <v>266183.71000000002</v>
      </c>
      <c r="D35">
        <v>241238.53</v>
      </c>
      <c r="E35">
        <v>269814.74</v>
      </c>
      <c r="F35">
        <v>-24945.18</v>
      </c>
      <c r="G35">
        <v>-28576.21</v>
      </c>
      <c r="H35">
        <v>-9.3700000000000006E-2</v>
      </c>
      <c r="I35">
        <v>-0.10589999999999999</v>
      </c>
    </row>
    <row r="36" spans="1:9" x14ac:dyDescent="0.25">
      <c r="A36" t="s">
        <v>7</v>
      </c>
      <c r="B36" s="1">
        <v>45962</v>
      </c>
      <c r="C36">
        <v>297153.40000000002</v>
      </c>
      <c r="D36">
        <v>297662.76</v>
      </c>
      <c r="E36">
        <v>309264.37</v>
      </c>
      <c r="F36">
        <v>509.36</v>
      </c>
      <c r="G36">
        <v>-11601.61</v>
      </c>
      <c r="H36">
        <v>1.6999999999999999E-3</v>
      </c>
      <c r="I36">
        <v>-3.7499999999999999E-2</v>
      </c>
    </row>
    <row r="37" spans="1:9" x14ac:dyDescent="0.25">
      <c r="A37" t="s">
        <v>7</v>
      </c>
      <c r="B37" s="1">
        <v>45992</v>
      </c>
      <c r="C37">
        <v>287393.83</v>
      </c>
      <c r="D37">
        <v>282242.76</v>
      </c>
      <c r="E37">
        <v>294738.21999999997</v>
      </c>
      <c r="F37">
        <v>-5151.07</v>
      </c>
      <c r="G37">
        <v>-12495.46</v>
      </c>
      <c r="H37">
        <v>-1.7899999999999999E-2</v>
      </c>
      <c r="I37">
        <v>-4.24E-2</v>
      </c>
    </row>
    <row r="38" spans="1:9" x14ac:dyDescent="0.25">
      <c r="A38" t="s">
        <v>8</v>
      </c>
      <c r="B38" s="1">
        <v>45658</v>
      </c>
      <c r="C38">
        <v>284319.71999999997</v>
      </c>
      <c r="D38">
        <v>260265.13</v>
      </c>
      <c r="E38">
        <v>278341.94</v>
      </c>
      <c r="F38">
        <v>-24054.59</v>
      </c>
      <c r="G38">
        <v>-18076.810000000001</v>
      </c>
      <c r="H38">
        <v>-8.4599999999999995E-2</v>
      </c>
      <c r="I38">
        <v>-6.4899999999999999E-2</v>
      </c>
    </row>
    <row r="39" spans="1:9" x14ac:dyDescent="0.25">
      <c r="A39" t="s">
        <v>8</v>
      </c>
      <c r="B39" s="1">
        <v>45689</v>
      </c>
      <c r="C39">
        <v>274183.19</v>
      </c>
      <c r="D39">
        <v>297746.37</v>
      </c>
      <c r="E39">
        <v>282631.34000000003</v>
      </c>
      <c r="F39">
        <v>23563.18</v>
      </c>
      <c r="G39">
        <v>15115.03</v>
      </c>
      <c r="H39">
        <v>8.5900000000000004E-2</v>
      </c>
      <c r="I39">
        <v>5.3499999999999999E-2</v>
      </c>
    </row>
    <row r="40" spans="1:9" x14ac:dyDescent="0.25">
      <c r="A40" t="s">
        <v>8</v>
      </c>
      <c r="B40" s="1">
        <v>45717</v>
      </c>
      <c r="C40">
        <v>345010.56</v>
      </c>
      <c r="D40">
        <v>370642.13</v>
      </c>
      <c r="E40">
        <v>355487.57</v>
      </c>
      <c r="F40">
        <v>25631.57</v>
      </c>
      <c r="G40">
        <v>15154.56</v>
      </c>
      <c r="H40">
        <v>7.4300000000000005E-2</v>
      </c>
      <c r="I40">
        <v>4.2599999999999999E-2</v>
      </c>
    </row>
    <row r="41" spans="1:9" x14ac:dyDescent="0.25">
      <c r="A41" t="s">
        <v>8</v>
      </c>
      <c r="B41" s="1">
        <v>45748</v>
      </c>
      <c r="C41">
        <v>277985.51</v>
      </c>
      <c r="D41">
        <v>299810.65000000002</v>
      </c>
      <c r="E41">
        <v>279079.17</v>
      </c>
      <c r="F41">
        <v>21825.14</v>
      </c>
      <c r="G41">
        <v>20731.48</v>
      </c>
      <c r="H41">
        <v>7.85E-2</v>
      </c>
      <c r="I41">
        <v>7.4300000000000005E-2</v>
      </c>
    </row>
    <row r="42" spans="1:9" x14ac:dyDescent="0.25">
      <c r="A42" t="s">
        <v>8</v>
      </c>
      <c r="B42" s="1">
        <v>45778</v>
      </c>
      <c r="C42">
        <v>371116.02</v>
      </c>
      <c r="D42">
        <v>400515.19</v>
      </c>
      <c r="E42">
        <v>364361.84</v>
      </c>
      <c r="F42">
        <v>29399.17</v>
      </c>
      <c r="G42">
        <v>36153.35</v>
      </c>
      <c r="H42">
        <v>7.9200000000000007E-2</v>
      </c>
      <c r="I42">
        <v>9.9199999999999997E-2</v>
      </c>
    </row>
    <row r="43" spans="1:9" x14ac:dyDescent="0.25">
      <c r="A43" t="s">
        <v>8</v>
      </c>
      <c r="B43" s="1">
        <v>45809</v>
      </c>
      <c r="C43">
        <v>266507.78999999998</v>
      </c>
      <c r="D43">
        <v>252006.31</v>
      </c>
      <c r="E43">
        <v>264565.15000000002</v>
      </c>
      <c r="F43">
        <v>-14501.48</v>
      </c>
      <c r="G43">
        <v>-12558.84</v>
      </c>
      <c r="H43">
        <v>-5.4399999999999997E-2</v>
      </c>
      <c r="I43">
        <v>-4.7500000000000001E-2</v>
      </c>
    </row>
    <row r="44" spans="1:9" x14ac:dyDescent="0.25">
      <c r="A44" t="s">
        <v>8</v>
      </c>
      <c r="B44" s="1">
        <v>45839</v>
      </c>
      <c r="C44">
        <v>372702.21</v>
      </c>
      <c r="D44">
        <v>399591.23</v>
      </c>
      <c r="E44">
        <v>354326.21</v>
      </c>
      <c r="F44">
        <v>26889.02</v>
      </c>
      <c r="G44">
        <v>45265.02</v>
      </c>
      <c r="H44">
        <v>7.2099999999999997E-2</v>
      </c>
      <c r="I44">
        <v>0.12770000000000001</v>
      </c>
    </row>
    <row r="45" spans="1:9" x14ac:dyDescent="0.25">
      <c r="A45" t="s">
        <v>8</v>
      </c>
      <c r="B45" s="1">
        <v>45870</v>
      </c>
      <c r="C45">
        <v>326612.09999999998</v>
      </c>
      <c r="D45">
        <v>321217.18</v>
      </c>
      <c r="E45">
        <v>317535.8</v>
      </c>
      <c r="F45">
        <v>-5394.92</v>
      </c>
      <c r="G45">
        <v>3681.38</v>
      </c>
      <c r="H45">
        <v>-1.6500000000000001E-2</v>
      </c>
      <c r="I45">
        <v>1.1599999999999999E-2</v>
      </c>
    </row>
    <row r="46" spans="1:9" x14ac:dyDescent="0.25">
      <c r="A46" t="s">
        <v>8</v>
      </c>
      <c r="B46" s="1">
        <v>45901</v>
      </c>
      <c r="C46">
        <v>267979.81</v>
      </c>
      <c r="D46">
        <v>259276.63</v>
      </c>
      <c r="E46">
        <v>279848.89</v>
      </c>
      <c r="F46">
        <v>-8703.18</v>
      </c>
      <c r="G46">
        <v>-20572.259999999998</v>
      </c>
      <c r="H46">
        <v>-3.2500000000000001E-2</v>
      </c>
      <c r="I46">
        <v>-7.3499999999999996E-2</v>
      </c>
    </row>
    <row r="47" spans="1:9" x14ac:dyDescent="0.25">
      <c r="A47" t="s">
        <v>8</v>
      </c>
      <c r="B47" s="1">
        <v>45931</v>
      </c>
      <c r="C47">
        <v>298480.44</v>
      </c>
      <c r="D47">
        <v>299602.17</v>
      </c>
      <c r="E47">
        <v>304540.15999999997</v>
      </c>
      <c r="F47">
        <v>1121.73</v>
      </c>
      <c r="G47">
        <v>-4937.99</v>
      </c>
      <c r="H47">
        <v>3.8E-3</v>
      </c>
      <c r="I47">
        <v>-1.6199999999999999E-2</v>
      </c>
    </row>
    <row r="48" spans="1:9" x14ac:dyDescent="0.25">
      <c r="A48" t="s">
        <v>8</v>
      </c>
      <c r="B48" s="1">
        <v>45962</v>
      </c>
      <c r="C48">
        <v>304544.44</v>
      </c>
      <c r="D48">
        <v>333280.15999999997</v>
      </c>
      <c r="E48">
        <v>318628.02</v>
      </c>
      <c r="F48">
        <v>28735.72</v>
      </c>
      <c r="G48">
        <v>14652.14</v>
      </c>
      <c r="H48">
        <v>9.4399999999999998E-2</v>
      </c>
      <c r="I48">
        <v>4.5999999999999999E-2</v>
      </c>
    </row>
    <row r="49" spans="1:9" x14ac:dyDescent="0.25">
      <c r="A49" t="s">
        <v>8</v>
      </c>
      <c r="B49" s="1">
        <v>45992</v>
      </c>
      <c r="C49">
        <v>287767.34000000003</v>
      </c>
      <c r="D49">
        <v>287608.99</v>
      </c>
      <c r="E49">
        <v>282037.27</v>
      </c>
      <c r="F49">
        <v>-158.35</v>
      </c>
      <c r="G49">
        <v>5571.72</v>
      </c>
      <c r="H49">
        <v>-5.9999999999999995E-4</v>
      </c>
      <c r="I49">
        <v>1.9800000000000002E-2</v>
      </c>
    </row>
    <row r="50" spans="1:9" x14ac:dyDescent="0.25">
      <c r="A50" t="s">
        <v>9</v>
      </c>
      <c r="B50" s="1">
        <v>45658</v>
      </c>
      <c r="C50">
        <v>292726.07</v>
      </c>
      <c r="D50">
        <v>265613.02</v>
      </c>
      <c r="E50">
        <v>295933.31</v>
      </c>
      <c r="F50">
        <v>-27113.05</v>
      </c>
      <c r="G50">
        <v>-30320.29</v>
      </c>
      <c r="H50">
        <v>-9.2600000000000002E-2</v>
      </c>
      <c r="I50">
        <v>-0.10249999999999999</v>
      </c>
    </row>
    <row r="51" spans="1:9" x14ac:dyDescent="0.25">
      <c r="A51" t="s">
        <v>9</v>
      </c>
      <c r="B51" s="1">
        <v>45689</v>
      </c>
      <c r="C51">
        <v>325401.84999999998</v>
      </c>
      <c r="D51">
        <v>296211.92</v>
      </c>
      <c r="E51">
        <v>318198.96999999997</v>
      </c>
      <c r="F51">
        <v>-29189.93</v>
      </c>
      <c r="G51">
        <v>-21987.05</v>
      </c>
      <c r="H51">
        <v>-8.9700000000000002E-2</v>
      </c>
      <c r="I51">
        <v>-6.9099999999999995E-2</v>
      </c>
    </row>
    <row r="52" spans="1:9" x14ac:dyDescent="0.25">
      <c r="A52" t="s">
        <v>9</v>
      </c>
      <c r="B52" s="1">
        <v>45717</v>
      </c>
      <c r="C52">
        <v>386239.88</v>
      </c>
      <c r="D52">
        <v>366121.57</v>
      </c>
      <c r="E52">
        <v>372524.31</v>
      </c>
      <c r="F52">
        <v>-20118.310000000001</v>
      </c>
      <c r="G52">
        <v>-6402.74</v>
      </c>
      <c r="H52">
        <v>-5.21E-2</v>
      </c>
      <c r="I52">
        <v>-1.72E-2</v>
      </c>
    </row>
    <row r="53" spans="1:9" x14ac:dyDescent="0.25">
      <c r="A53" t="s">
        <v>9</v>
      </c>
      <c r="B53" s="1">
        <v>45748</v>
      </c>
      <c r="C53">
        <v>323417.90999999997</v>
      </c>
      <c r="D53">
        <v>354831.53</v>
      </c>
      <c r="E53">
        <v>315075.52</v>
      </c>
      <c r="F53">
        <v>31413.62</v>
      </c>
      <c r="G53">
        <v>39756.01</v>
      </c>
      <c r="H53">
        <v>9.7100000000000006E-2</v>
      </c>
      <c r="I53">
        <v>0.12620000000000001</v>
      </c>
    </row>
    <row r="54" spans="1:9" x14ac:dyDescent="0.25">
      <c r="A54" t="s">
        <v>9</v>
      </c>
      <c r="B54" s="1">
        <v>45778</v>
      </c>
      <c r="C54">
        <v>350820.33</v>
      </c>
      <c r="D54">
        <v>369176.63</v>
      </c>
      <c r="E54">
        <v>341616.12</v>
      </c>
      <c r="F54">
        <v>18356.3</v>
      </c>
      <c r="G54">
        <v>27560.51</v>
      </c>
      <c r="H54">
        <v>5.2299999999999999E-2</v>
      </c>
      <c r="I54">
        <v>8.0699999999999994E-2</v>
      </c>
    </row>
    <row r="55" spans="1:9" x14ac:dyDescent="0.25">
      <c r="A55" t="s">
        <v>9</v>
      </c>
      <c r="B55" s="1">
        <v>45809</v>
      </c>
      <c r="C55">
        <v>359232.45</v>
      </c>
      <c r="D55">
        <v>349733.13</v>
      </c>
      <c r="E55">
        <v>363985.31</v>
      </c>
      <c r="F55">
        <v>-9499.32</v>
      </c>
      <c r="G55">
        <v>-14252.18</v>
      </c>
      <c r="H55">
        <v>-2.64E-2</v>
      </c>
      <c r="I55">
        <v>-3.9199999999999999E-2</v>
      </c>
    </row>
    <row r="56" spans="1:9" x14ac:dyDescent="0.25">
      <c r="A56" t="s">
        <v>9</v>
      </c>
      <c r="B56" s="1">
        <v>45839</v>
      </c>
      <c r="C56">
        <v>345029.46</v>
      </c>
      <c r="D56">
        <v>347498.12</v>
      </c>
      <c r="E56">
        <v>330893.25</v>
      </c>
      <c r="F56">
        <v>2468.66</v>
      </c>
      <c r="G56">
        <v>16604.87</v>
      </c>
      <c r="H56">
        <v>7.1999999999999998E-3</v>
      </c>
      <c r="I56">
        <v>5.0200000000000002E-2</v>
      </c>
    </row>
    <row r="57" spans="1:9" x14ac:dyDescent="0.25">
      <c r="A57" t="s">
        <v>9</v>
      </c>
      <c r="B57" s="1">
        <v>45870</v>
      </c>
      <c r="C57">
        <v>375295.37</v>
      </c>
      <c r="D57">
        <v>361843.29</v>
      </c>
      <c r="E57">
        <v>363530.56</v>
      </c>
      <c r="F57">
        <v>-13452.08</v>
      </c>
      <c r="G57">
        <v>-1687.27</v>
      </c>
      <c r="H57">
        <v>-3.5799999999999998E-2</v>
      </c>
      <c r="I57">
        <v>-4.5999999999999999E-3</v>
      </c>
    </row>
    <row r="58" spans="1:9" x14ac:dyDescent="0.25">
      <c r="A58" t="s">
        <v>9</v>
      </c>
      <c r="B58" s="1">
        <v>45901</v>
      </c>
      <c r="C58">
        <v>256116.27</v>
      </c>
      <c r="D58">
        <v>260772.1</v>
      </c>
      <c r="E58">
        <v>260663.98</v>
      </c>
      <c r="F58">
        <v>4655.83</v>
      </c>
      <c r="G58">
        <v>108.12</v>
      </c>
      <c r="H58">
        <v>1.8200000000000001E-2</v>
      </c>
      <c r="I58">
        <v>4.0000000000000002E-4</v>
      </c>
    </row>
    <row r="59" spans="1:9" x14ac:dyDescent="0.25">
      <c r="A59" t="s">
        <v>9</v>
      </c>
      <c r="B59" s="1">
        <v>45931</v>
      </c>
      <c r="C59">
        <v>252488.17</v>
      </c>
      <c r="D59">
        <v>253098.85</v>
      </c>
      <c r="E59">
        <v>245582.52</v>
      </c>
      <c r="F59">
        <v>610.67999999999995</v>
      </c>
      <c r="G59">
        <v>7516.33</v>
      </c>
      <c r="H59">
        <v>2.3999999999999998E-3</v>
      </c>
      <c r="I59">
        <v>3.0599999999999999E-2</v>
      </c>
    </row>
    <row r="60" spans="1:9" x14ac:dyDescent="0.25">
      <c r="A60" t="s">
        <v>9</v>
      </c>
      <c r="B60" s="1">
        <v>45962</v>
      </c>
      <c r="C60">
        <v>346775.92</v>
      </c>
      <c r="D60">
        <v>324191.53999999998</v>
      </c>
      <c r="E60">
        <v>353397.18</v>
      </c>
      <c r="F60">
        <v>-22584.38</v>
      </c>
      <c r="G60">
        <v>-29205.64</v>
      </c>
      <c r="H60">
        <v>-6.5100000000000005E-2</v>
      </c>
      <c r="I60">
        <v>-8.2600000000000007E-2</v>
      </c>
    </row>
    <row r="61" spans="1:9" x14ac:dyDescent="0.25">
      <c r="A61" t="s">
        <v>9</v>
      </c>
      <c r="B61" s="1">
        <v>45992</v>
      </c>
      <c r="C61">
        <v>308010.3</v>
      </c>
      <c r="D61">
        <v>334913.77</v>
      </c>
      <c r="E61">
        <v>296845.57</v>
      </c>
      <c r="F61">
        <v>26903.47</v>
      </c>
      <c r="G61">
        <v>38068.199999999997</v>
      </c>
      <c r="H61">
        <v>8.7300000000000003E-2</v>
      </c>
      <c r="I61">
        <v>0.12820000000000001</v>
      </c>
    </row>
    <row r="62" spans="1:9" x14ac:dyDescent="0.25">
      <c r="A62" t="s">
        <v>10</v>
      </c>
      <c r="B62" s="1">
        <v>45658</v>
      </c>
      <c r="C62">
        <v>301159.95</v>
      </c>
      <c r="D62">
        <v>277878.69</v>
      </c>
      <c r="E62">
        <v>313950.02</v>
      </c>
      <c r="F62">
        <v>-23281.26</v>
      </c>
      <c r="G62">
        <v>-36071.33</v>
      </c>
      <c r="H62">
        <v>-7.7299999999999994E-2</v>
      </c>
      <c r="I62">
        <v>-0.1149</v>
      </c>
    </row>
    <row r="63" spans="1:9" x14ac:dyDescent="0.25">
      <c r="A63" t="s">
        <v>10</v>
      </c>
      <c r="B63" s="1">
        <v>45689</v>
      </c>
      <c r="C63">
        <v>381600.9</v>
      </c>
      <c r="D63">
        <v>363126.96</v>
      </c>
      <c r="E63">
        <v>387705.91</v>
      </c>
      <c r="F63">
        <v>-18473.939999999999</v>
      </c>
      <c r="G63">
        <v>-24578.95</v>
      </c>
      <c r="H63">
        <v>-4.8399999999999999E-2</v>
      </c>
      <c r="I63">
        <v>-6.3399999999999998E-2</v>
      </c>
    </row>
    <row r="64" spans="1:9" x14ac:dyDescent="0.25">
      <c r="A64" t="s">
        <v>10</v>
      </c>
      <c r="B64" s="1">
        <v>45717</v>
      </c>
      <c r="C64">
        <v>372583.33</v>
      </c>
      <c r="D64">
        <v>376696.71</v>
      </c>
      <c r="E64">
        <v>373688.06</v>
      </c>
      <c r="F64">
        <v>4113.38</v>
      </c>
      <c r="G64">
        <v>3008.65</v>
      </c>
      <c r="H64">
        <v>1.0999999999999999E-2</v>
      </c>
      <c r="I64">
        <v>8.0999999999999996E-3</v>
      </c>
    </row>
    <row r="65" spans="1:9" x14ac:dyDescent="0.25">
      <c r="A65" t="s">
        <v>10</v>
      </c>
      <c r="B65" s="1">
        <v>45748</v>
      </c>
      <c r="C65">
        <v>286277.84000000003</v>
      </c>
      <c r="D65">
        <v>262980.71000000002</v>
      </c>
      <c r="E65">
        <v>297649.25</v>
      </c>
      <c r="F65">
        <v>-23297.13</v>
      </c>
      <c r="G65">
        <v>-34668.54</v>
      </c>
      <c r="H65">
        <v>-8.14E-2</v>
      </c>
      <c r="I65">
        <v>-0.11650000000000001</v>
      </c>
    </row>
    <row r="66" spans="1:9" x14ac:dyDescent="0.25">
      <c r="A66" t="s">
        <v>10</v>
      </c>
      <c r="B66" s="1">
        <v>45778</v>
      </c>
      <c r="C66">
        <v>385062.71</v>
      </c>
      <c r="D66">
        <v>395313.19</v>
      </c>
      <c r="E66">
        <v>378864.35</v>
      </c>
      <c r="F66">
        <v>10250.48</v>
      </c>
      <c r="G66">
        <v>16448.84</v>
      </c>
      <c r="H66">
        <v>2.6599999999999999E-2</v>
      </c>
      <c r="I66">
        <v>4.3400000000000001E-2</v>
      </c>
    </row>
    <row r="67" spans="1:9" x14ac:dyDescent="0.25">
      <c r="A67" t="s">
        <v>10</v>
      </c>
      <c r="B67" s="1">
        <v>45809</v>
      </c>
      <c r="C67">
        <v>302381.44</v>
      </c>
      <c r="D67">
        <v>316046.40000000002</v>
      </c>
      <c r="E67">
        <v>314389.31</v>
      </c>
      <c r="F67">
        <v>13664.96</v>
      </c>
      <c r="G67">
        <v>1657.09</v>
      </c>
      <c r="H67">
        <v>4.5199999999999997E-2</v>
      </c>
      <c r="I67">
        <v>5.3E-3</v>
      </c>
    </row>
    <row r="68" spans="1:9" x14ac:dyDescent="0.25">
      <c r="A68" t="s">
        <v>10</v>
      </c>
      <c r="B68" s="1">
        <v>45839</v>
      </c>
      <c r="C68">
        <v>383062.96</v>
      </c>
      <c r="D68">
        <v>404504.95</v>
      </c>
      <c r="E68">
        <v>388503.67</v>
      </c>
      <c r="F68">
        <v>21441.99</v>
      </c>
      <c r="G68">
        <v>16001.28</v>
      </c>
      <c r="H68">
        <v>5.6000000000000001E-2</v>
      </c>
      <c r="I68">
        <v>4.1200000000000001E-2</v>
      </c>
    </row>
    <row r="69" spans="1:9" x14ac:dyDescent="0.25">
      <c r="A69" t="s">
        <v>10</v>
      </c>
      <c r="B69" s="1">
        <v>45870</v>
      </c>
      <c r="C69">
        <v>262620.99</v>
      </c>
      <c r="D69">
        <v>244848.31</v>
      </c>
      <c r="E69">
        <v>273087.86</v>
      </c>
      <c r="F69">
        <v>-17772.68</v>
      </c>
      <c r="G69">
        <v>-28239.55</v>
      </c>
      <c r="H69">
        <v>-6.7699999999999996E-2</v>
      </c>
      <c r="I69">
        <v>-0.10340000000000001</v>
      </c>
    </row>
    <row r="70" spans="1:9" x14ac:dyDescent="0.25">
      <c r="A70" t="s">
        <v>10</v>
      </c>
      <c r="B70" s="1">
        <v>45901</v>
      </c>
      <c r="C70">
        <v>340964.36</v>
      </c>
      <c r="D70">
        <v>307495.09999999998</v>
      </c>
      <c r="E70">
        <v>327375.96000000002</v>
      </c>
      <c r="F70">
        <v>-33469.26</v>
      </c>
      <c r="G70">
        <v>-19880.86</v>
      </c>
      <c r="H70">
        <v>-9.8199999999999996E-2</v>
      </c>
      <c r="I70">
        <v>-6.0699999999999997E-2</v>
      </c>
    </row>
    <row r="71" spans="1:9" x14ac:dyDescent="0.25">
      <c r="A71" t="s">
        <v>10</v>
      </c>
      <c r="B71" s="1">
        <v>45931</v>
      </c>
      <c r="C71">
        <v>349525.27</v>
      </c>
      <c r="D71">
        <v>314926.57</v>
      </c>
      <c r="E71">
        <v>337669.65</v>
      </c>
      <c r="F71">
        <v>-34598.699999999997</v>
      </c>
      <c r="G71">
        <v>-22743.08</v>
      </c>
      <c r="H71">
        <v>-9.9000000000000005E-2</v>
      </c>
      <c r="I71">
        <v>-6.7400000000000002E-2</v>
      </c>
    </row>
    <row r="72" spans="1:9" x14ac:dyDescent="0.25">
      <c r="A72" t="s">
        <v>10</v>
      </c>
      <c r="B72" s="1">
        <v>45962</v>
      </c>
      <c r="C72">
        <v>332310.07</v>
      </c>
      <c r="D72">
        <v>345063.81</v>
      </c>
      <c r="E72">
        <v>337359.89</v>
      </c>
      <c r="F72">
        <v>12753.74</v>
      </c>
      <c r="G72">
        <v>7703.92</v>
      </c>
      <c r="H72">
        <v>3.8399999999999997E-2</v>
      </c>
      <c r="I72">
        <v>2.2800000000000001E-2</v>
      </c>
    </row>
    <row r="73" spans="1:9" x14ac:dyDescent="0.25">
      <c r="A73" t="s">
        <v>10</v>
      </c>
      <c r="B73" s="1">
        <v>45992</v>
      </c>
      <c r="C73">
        <v>283640.40000000002</v>
      </c>
      <c r="D73">
        <v>295676.92</v>
      </c>
      <c r="E73">
        <v>276187.71999999997</v>
      </c>
      <c r="F73">
        <v>12036.52</v>
      </c>
      <c r="G73">
        <v>19489.2</v>
      </c>
      <c r="H73">
        <v>4.24E-2</v>
      </c>
      <c r="I73">
        <v>7.0599999999999996E-2</v>
      </c>
    </row>
    <row r="74" spans="1:9" x14ac:dyDescent="0.25">
      <c r="A74" t="s">
        <v>11</v>
      </c>
      <c r="B74" s="1">
        <v>45658</v>
      </c>
      <c r="C74">
        <v>298809.95</v>
      </c>
      <c r="D74">
        <v>313540.77</v>
      </c>
      <c r="E74">
        <v>303281.13</v>
      </c>
      <c r="F74">
        <v>14730.82</v>
      </c>
      <c r="G74">
        <v>10259.64</v>
      </c>
      <c r="H74">
        <v>4.9299999999999997E-2</v>
      </c>
      <c r="I74">
        <v>3.3799999999999997E-2</v>
      </c>
    </row>
    <row r="75" spans="1:9" x14ac:dyDescent="0.25">
      <c r="A75" t="s">
        <v>11</v>
      </c>
      <c r="B75" s="1">
        <v>45689</v>
      </c>
      <c r="C75">
        <v>377383.51</v>
      </c>
      <c r="D75">
        <v>389279.61</v>
      </c>
      <c r="E75">
        <v>379961.37</v>
      </c>
      <c r="F75">
        <v>11896.1</v>
      </c>
      <c r="G75">
        <v>9318.24</v>
      </c>
      <c r="H75">
        <v>3.15E-2</v>
      </c>
      <c r="I75">
        <v>2.4500000000000001E-2</v>
      </c>
    </row>
    <row r="76" spans="1:9" x14ac:dyDescent="0.25">
      <c r="A76" t="s">
        <v>11</v>
      </c>
      <c r="B76" s="1">
        <v>45717</v>
      </c>
      <c r="C76">
        <v>264051.21999999997</v>
      </c>
      <c r="D76">
        <v>257065.25</v>
      </c>
      <c r="E76">
        <v>257851.36</v>
      </c>
      <c r="F76">
        <v>-6985.97</v>
      </c>
      <c r="G76">
        <v>-786.11</v>
      </c>
      <c r="H76">
        <v>-2.6499999999999999E-2</v>
      </c>
      <c r="I76">
        <v>-3.0000000000000001E-3</v>
      </c>
    </row>
    <row r="77" spans="1:9" x14ac:dyDescent="0.25">
      <c r="A77" t="s">
        <v>11</v>
      </c>
      <c r="B77" s="1">
        <v>45748</v>
      </c>
      <c r="C77">
        <v>286598.45</v>
      </c>
      <c r="D77">
        <v>313711.26</v>
      </c>
      <c r="E77">
        <v>283534.64</v>
      </c>
      <c r="F77">
        <v>27112.81</v>
      </c>
      <c r="G77">
        <v>30176.62</v>
      </c>
      <c r="H77">
        <v>9.4600000000000004E-2</v>
      </c>
      <c r="I77">
        <v>0.10639999999999999</v>
      </c>
    </row>
    <row r="78" spans="1:9" x14ac:dyDescent="0.25">
      <c r="A78" t="s">
        <v>11</v>
      </c>
      <c r="B78" s="1">
        <v>45778</v>
      </c>
      <c r="C78">
        <v>383806.98</v>
      </c>
      <c r="D78">
        <v>393873.37</v>
      </c>
      <c r="E78">
        <v>395122.05</v>
      </c>
      <c r="F78">
        <v>10066.39</v>
      </c>
      <c r="G78">
        <v>-1248.68</v>
      </c>
      <c r="H78">
        <v>2.6200000000000001E-2</v>
      </c>
      <c r="I78">
        <v>-3.2000000000000002E-3</v>
      </c>
    </row>
    <row r="79" spans="1:9" x14ac:dyDescent="0.25">
      <c r="A79" t="s">
        <v>11</v>
      </c>
      <c r="B79" s="1">
        <v>45809</v>
      </c>
      <c r="C79">
        <v>325395.56</v>
      </c>
      <c r="D79">
        <v>330400.40000000002</v>
      </c>
      <c r="E79">
        <v>325152.09000000003</v>
      </c>
      <c r="F79">
        <v>5004.84</v>
      </c>
      <c r="G79">
        <v>5248.31</v>
      </c>
      <c r="H79">
        <v>1.54E-2</v>
      </c>
      <c r="I79">
        <v>1.61E-2</v>
      </c>
    </row>
    <row r="80" spans="1:9" x14ac:dyDescent="0.25">
      <c r="A80" t="s">
        <v>11</v>
      </c>
      <c r="B80" s="1">
        <v>45839</v>
      </c>
      <c r="C80">
        <v>279286.45</v>
      </c>
      <c r="D80">
        <v>291712.02</v>
      </c>
      <c r="E80">
        <v>273163.71999999997</v>
      </c>
      <c r="F80">
        <v>12425.57</v>
      </c>
      <c r="G80">
        <v>18548.3</v>
      </c>
      <c r="H80">
        <v>4.4499999999999998E-2</v>
      </c>
      <c r="I80">
        <v>6.7900000000000002E-2</v>
      </c>
    </row>
    <row r="81" spans="1:9" x14ac:dyDescent="0.25">
      <c r="A81" t="s">
        <v>11</v>
      </c>
      <c r="B81" s="1">
        <v>45870</v>
      </c>
      <c r="C81">
        <v>253647.39</v>
      </c>
      <c r="D81">
        <v>261027.13</v>
      </c>
      <c r="E81">
        <v>245457.39</v>
      </c>
      <c r="F81">
        <v>7379.74</v>
      </c>
      <c r="G81">
        <v>15569.74</v>
      </c>
      <c r="H81">
        <v>2.9100000000000001E-2</v>
      </c>
      <c r="I81">
        <v>6.3399999999999998E-2</v>
      </c>
    </row>
    <row r="82" spans="1:9" x14ac:dyDescent="0.25">
      <c r="A82" t="s">
        <v>11</v>
      </c>
      <c r="B82" s="1">
        <v>45901</v>
      </c>
      <c r="C82">
        <v>391068.79</v>
      </c>
      <c r="D82">
        <v>426572.25</v>
      </c>
      <c r="E82">
        <v>407292.84</v>
      </c>
      <c r="F82">
        <v>35503.46</v>
      </c>
      <c r="G82">
        <v>19279.41</v>
      </c>
      <c r="H82">
        <v>9.0800000000000006E-2</v>
      </c>
      <c r="I82">
        <v>4.7300000000000002E-2</v>
      </c>
    </row>
    <row r="83" spans="1:9" x14ac:dyDescent="0.25">
      <c r="A83" t="s">
        <v>11</v>
      </c>
      <c r="B83" s="1">
        <v>45931</v>
      </c>
      <c r="C83">
        <v>305523.81</v>
      </c>
      <c r="D83">
        <v>275915.90000000002</v>
      </c>
      <c r="E83">
        <v>318609.96000000002</v>
      </c>
      <c r="F83">
        <v>-29607.91</v>
      </c>
      <c r="G83">
        <v>-42694.06</v>
      </c>
      <c r="H83">
        <v>-9.69E-2</v>
      </c>
      <c r="I83">
        <v>-0.13400000000000001</v>
      </c>
    </row>
    <row r="84" spans="1:9" x14ac:dyDescent="0.25">
      <c r="A84" t="s">
        <v>11</v>
      </c>
      <c r="B84" s="1">
        <v>45962</v>
      </c>
      <c r="C84">
        <v>314227.62</v>
      </c>
      <c r="D84">
        <v>343554.79</v>
      </c>
      <c r="E84">
        <v>328795.84000000003</v>
      </c>
      <c r="F84">
        <v>29327.17</v>
      </c>
      <c r="G84">
        <v>14758.95</v>
      </c>
      <c r="H84">
        <v>9.3299999999999994E-2</v>
      </c>
      <c r="I84">
        <v>4.4900000000000002E-2</v>
      </c>
    </row>
    <row r="85" spans="1:9" x14ac:dyDescent="0.25">
      <c r="A85" t="s">
        <v>11</v>
      </c>
      <c r="B85" s="1">
        <v>45992</v>
      </c>
      <c r="C85">
        <v>377951.42</v>
      </c>
      <c r="D85">
        <v>362413.75</v>
      </c>
      <c r="E85">
        <v>373608.67</v>
      </c>
      <c r="F85">
        <v>-15537.67</v>
      </c>
      <c r="G85">
        <v>-11194.92</v>
      </c>
      <c r="H85">
        <v>-4.1099999999999998E-2</v>
      </c>
      <c r="I85">
        <v>-0.03</v>
      </c>
    </row>
    <row r="86" spans="1:9" x14ac:dyDescent="0.25">
      <c r="A86" t="s">
        <v>12</v>
      </c>
      <c r="B86" s="1">
        <v>45658</v>
      </c>
      <c r="C86">
        <v>377670.5</v>
      </c>
      <c r="D86">
        <v>363841.87</v>
      </c>
      <c r="E86">
        <v>365188.22</v>
      </c>
      <c r="F86">
        <v>-13828.63</v>
      </c>
      <c r="G86">
        <v>-1346.35</v>
      </c>
      <c r="H86">
        <v>-3.6600000000000001E-2</v>
      </c>
      <c r="I86">
        <v>-3.7000000000000002E-3</v>
      </c>
    </row>
    <row r="87" spans="1:9" x14ac:dyDescent="0.25">
      <c r="A87" t="s">
        <v>12</v>
      </c>
      <c r="B87" s="1">
        <v>45689</v>
      </c>
      <c r="C87">
        <v>333520.19</v>
      </c>
      <c r="D87">
        <v>362613.47</v>
      </c>
      <c r="E87">
        <v>340058.18</v>
      </c>
      <c r="F87">
        <v>29093.279999999999</v>
      </c>
      <c r="G87">
        <v>22555.29</v>
      </c>
      <c r="H87">
        <v>8.72E-2</v>
      </c>
      <c r="I87">
        <v>6.6299999999999998E-2</v>
      </c>
    </row>
    <row r="88" spans="1:9" x14ac:dyDescent="0.25">
      <c r="A88" t="s">
        <v>12</v>
      </c>
      <c r="B88" s="1">
        <v>45717</v>
      </c>
      <c r="C88">
        <v>335509.18</v>
      </c>
      <c r="D88">
        <v>308478.98</v>
      </c>
      <c r="E88">
        <v>339367.77</v>
      </c>
      <c r="F88">
        <v>-27030.2</v>
      </c>
      <c r="G88">
        <v>-30888.79</v>
      </c>
      <c r="H88">
        <v>-8.0600000000000005E-2</v>
      </c>
      <c r="I88">
        <v>-9.0999999999999998E-2</v>
      </c>
    </row>
    <row r="89" spans="1:9" x14ac:dyDescent="0.25">
      <c r="A89" t="s">
        <v>12</v>
      </c>
      <c r="B89" s="1">
        <v>45748</v>
      </c>
      <c r="C89">
        <v>398508.08</v>
      </c>
      <c r="D89">
        <v>369822.19</v>
      </c>
      <c r="E89">
        <v>399238.53</v>
      </c>
      <c r="F89">
        <v>-28685.89</v>
      </c>
      <c r="G89">
        <v>-29416.34</v>
      </c>
      <c r="H89">
        <v>-7.1999999999999995E-2</v>
      </c>
      <c r="I89">
        <v>-7.3700000000000002E-2</v>
      </c>
    </row>
    <row r="90" spans="1:9" x14ac:dyDescent="0.25">
      <c r="A90" t="s">
        <v>12</v>
      </c>
      <c r="B90" s="1">
        <v>45778</v>
      </c>
      <c r="C90">
        <v>381605.96</v>
      </c>
      <c r="D90">
        <v>399981.71</v>
      </c>
      <c r="E90">
        <v>389124.2</v>
      </c>
      <c r="F90">
        <v>18375.75</v>
      </c>
      <c r="G90">
        <v>10857.51</v>
      </c>
      <c r="H90">
        <v>4.82E-2</v>
      </c>
      <c r="I90">
        <v>2.7900000000000001E-2</v>
      </c>
    </row>
    <row r="91" spans="1:9" x14ac:dyDescent="0.25">
      <c r="A91" t="s">
        <v>12</v>
      </c>
      <c r="B91" s="1">
        <v>45809</v>
      </c>
      <c r="C91">
        <v>355372.61</v>
      </c>
      <c r="D91">
        <v>345386.01</v>
      </c>
      <c r="E91">
        <v>348037.43</v>
      </c>
      <c r="F91">
        <v>-9986.6</v>
      </c>
      <c r="G91">
        <v>-2651.42</v>
      </c>
      <c r="H91">
        <v>-2.81E-2</v>
      </c>
      <c r="I91">
        <v>-7.6E-3</v>
      </c>
    </row>
    <row r="92" spans="1:9" x14ac:dyDescent="0.25">
      <c r="A92" t="s">
        <v>12</v>
      </c>
      <c r="B92" s="1">
        <v>45839</v>
      </c>
      <c r="C92">
        <v>371404.17</v>
      </c>
      <c r="D92">
        <v>394439.66</v>
      </c>
      <c r="E92">
        <v>385037.39</v>
      </c>
      <c r="F92">
        <v>23035.49</v>
      </c>
      <c r="G92">
        <v>9402.27</v>
      </c>
      <c r="H92">
        <v>6.2E-2</v>
      </c>
      <c r="I92">
        <v>2.4400000000000002E-2</v>
      </c>
    </row>
    <row r="93" spans="1:9" x14ac:dyDescent="0.25">
      <c r="A93" t="s">
        <v>12</v>
      </c>
      <c r="B93" s="1">
        <v>45870</v>
      </c>
      <c r="C93">
        <v>386986.08</v>
      </c>
      <c r="D93">
        <v>387863.95</v>
      </c>
      <c r="E93">
        <v>387044.76</v>
      </c>
      <c r="F93">
        <v>877.87</v>
      </c>
      <c r="G93">
        <v>819.19</v>
      </c>
      <c r="H93">
        <v>2.3E-3</v>
      </c>
      <c r="I93">
        <v>2.0999999999999999E-3</v>
      </c>
    </row>
    <row r="94" spans="1:9" x14ac:dyDescent="0.25">
      <c r="A94" t="s">
        <v>12</v>
      </c>
      <c r="B94" s="1">
        <v>45901</v>
      </c>
      <c r="C94">
        <v>369744.28</v>
      </c>
      <c r="D94">
        <v>380833.94</v>
      </c>
      <c r="E94">
        <v>377211.89</v>
      </c>
      <c r="F94">
        <v>11089.66</v>
      </c>
      <c r="G94">
        <v>3622.05</v>
      </c>
      <c r="H94">
        <v>0.03</v>
      </c>
      <c r="I94">
        <v>9.5999999999999992E-3</v>
      </c>
    </row>
    <row r="95" spans="1:9" x14ac:dyDescent="0.25">
      <c r="A95" t="s">
        <v>12</v>
      </c>
      <c r="B95" s="1">
        <v>45931</v>
      </c>
      <c r="C95">
        <v>369368.9</v>
      </c>
      <c r="D95">
        <v>398180.07</v>
      </c>
      <c r="E95">
        <v>363384.95</v>
      </c>
      <c r="F95">
        <v>28811.17</v>
      </c>
      <c r="G95">
        <v>34795.120000000003</v>
      </c>
      <c r="H95">
        <v>7.8E-2</v>
      </c>
      <c r="I95">
        <v>9.5799999999999996E-2</v>
      </c>
    </row>
    <row r="96" spans="1:9" x14ac:dyDescent="0.25">
      <c r="A96" t="s">
        <v>12</v>
      </c>
      <c r="B96" s="1">
        <v>45962</v>
      </c>
      <c r="C96">
        <v>306337.44</v>
      </c>
      <c r="D96">
        <v>281461.74</v>
      </c>
      <c r="E96">
        <v>308735.46000000002</v>
      </c>
      <c r="F96">
        <v>-24875.7</v>
      </c>
      <c r="G96">
        <v>-27273.72</v>
      </c>
      <c r="H96">
        <v>-8.1199999999999994E-2</v>
      </c>
      <c r="I96">
        <v>-8.8300000000000003E-2</v>
      </c>
    </row>
    <row r="97" spans="1:9" x14ac:dyDescent="0.25">
      <c r="A97" t="s">
        <v>12</v>
      </c>
      <c r="B97" s="1">
        <v>45992</v>
      </c>
      <c r="C97">
        <v>255391.34</v>
      </c>
      <c r="D97">
        <v>253634.15</v>
      </c>
      <c r="E97">
        <v>256480.45</v>
      </c>
      <c r="F97">
        <v>-1757.19</v>
      </c>
      <c r="G97">
        <v>-2846.3</v>
      </c>
      <c r="H97">
        <v>-6.8999999999999999E-3</v>
      </c>
      <c r="I97">
        <v>-1.11E-2</v>
      </c>
    </row>
    <row r="100" spans="1:9" x14ac:dyDescent="0.25">
      <c r="C100">
        <f>SUM(C2:C97)</f>
        <v>31052722.810000002</v>
      </c>
      <c r="D100" t="s">
        <v>18</v>
      </c>
    </row>
    <row r="101" spans="1:9" x14ac:dyDescent="0.25">
      <c r="C101">
        <f>SUM(D2:D97)</f>
        <v>31116955.890000008</v>
      </c>
      <c r="D101" t="s">
        <v>19</v>
      </c>
    </row>
    <row r="102" spans="1:9" x14ac:dyDescent="0.25">
      <c r="C102">
        <f xml:space="preserve"> C100 - C101</f>
        <v>-64233.080000005662</v>
      </c>
      <c r="D102" t="s">
        <v>20</v>
      </c>
    </row>
    <row r="103" spans="1:9" x14ac:dyDescent="0.25">
      <c r="C103">
        <f>C102/C100</f>
        <v>-2.0685168380571279E-3</v>
      </c>
      <c r="D103" t="s">
        <v>17</v>
      </c>
    </row>
  </sheetData>
  <conditionalFormatting sqref="B2:I97">
    <cfRule type="top10" dxfId="7" priority="1" percent="1" rank="10"/>
  </conditionalFormatting>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I1:S15"/>
  <sheetViews>
    <sheetView topLeftCell="A2" workbookViewId="0">
      <selection activeCell="G3" sqref="G3"/>
    </sheetView>
  </sheetViews>
  <sheetFormatPr defaultRowHeight="15" x14ac:dyDescent="0.25"/>
  <cols>
    <col min="10" max="12" width="9.140625" hidden="1" customWidth="1"/>
    <col min="18" max="19" width="0" hidden="1" customWidth="1"/>
  </cols>
  <sheetData>
    <row r="1" spans="9:19" hidden="1" x14ac:dyDescent="0.25"/>
    <row r="2" spans="9:19" x14ac:dyDescent="0.25">
      <c r="R2" s="4">
        <f>KPI_Helper!B6</f>
        <v>93158168.427931488</v>
      </c>
      <c r="S2" t="s">
        <v>49</v>
      </c>
    </row>
    <row r="3" spans="9:19" x14ac:dyDescent="0.25">
      <c r="J3" s="10">
        <f>SUM(revenue_forecasting_dataset!D:D)</f>
        <v>31116955.890000008</v>
      </c>
      <c r="K3" t="s">
        <v>28</v>
      </c>
      <c r="R3">
        <f>KPI_Helper!B9</f>
        <v>31116955.890000008</v>
      </c>
      <c r="S3" t="s">
        <v>50</v>
      </c>
    </row>
    <row r="4" spans="9:19" x14ac:dyDescent="0.25">
      <c r="J4" s="9" t="e">
        <f>#REF! - J3</f>
        <v>#REF!</v>
      </c>
      <c r="K4" t="s">
        <v>20</v>
      </c>
      <c r="R4">
        <f>KPI_Helper!B12</f>
        <v>62041212.53793148</v>
      </c>
      <c r="S4" t="s">
        <v>51</v>
      </c>
    </row>
    <row r="5" spans="9:19" x14ac:dyDescent="0.25">
      <c r="J5" s="11" t="e">
        <f xml:space="preserve"> J4 /#REF!</f>
        <v>#REF!</v>
      </c>
      <c r="K5" t="s">
        <v>17</v>
      </c>
      <c r="R5">
        <f>KPI_Helper!B15</f>
        <v>0.66597716104656424</v>
      </c>
      <c r="S5" t="s">
        <v>52</v>
      </c>
    </row>
    <row r="9" spans="9:19" ht="26.25" x14ac:dyDescent="0.4">
      <c r="R9" s="8"/>
    </row>
    <row r="15" spans="9:19" x14ac:dyDescent="0.25">
      <c r="I15" s="12"/>
    </row>
  </sheetData>
  <conditionalFormatting sqref="J4">
    <cfRule type="cellIs" dxfId="6" priority="1" operator="lessThan">
      <formula>0</formula>
    </cfRule>
    <cfRule type="cellIs" dxfId="5" priority="2" operator="greaterThanOrEqual">
      <formula>0</formula>
    </cfRule>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topLeftCell="A4" workbookViewId="0">
      <selection activeCell="B6" sqref="A6:B6"/>
    </sheetView>
  </sheetViews>
  <sheetFormatPr defaultRowHeight="15" x14ac:dyDescent="0.25"/>
  <sheetData>
    <row r="1" spans="1:2" x14ac:dyDescent="0.25">
      <c r="A1" t="s">
        <v>31</v>
      </c>
      <c r="B1" t="s">
        <v>32</v>
      </c>
    </row>
    <row r="2" spans="1:2" x14ac:dyDescent="0.25">
      <c r="A2" t="s">
        <v>36</v>
      </c>
      <c r="B2" t="s">
        <v>33</v>
      </c>
    </row>
    <row r="3" spans="1:2" x14ac:dyDescent="0.25">
      <c r="A3" t="s">
        <v>35</v>
      </c>
      <c r="B3" t="s">
        <v>34</v>
      </c>
    </row>
    <row r="5" spans="1:2" x14ac:dyDescent="0.25">
      <c r="A5" t="s">
        <v>38</v>
      </c>
      <c r="B5" t="s">
        <v>39</v>
      </c>
    </row>
    <row r="6" spans="1:2" x14ac:dyDescent="0.25">
      <c r="A6" t="s">
        <v>37</v>
      </c>
      <c r="B6">
        <f>SUM(revenue_forecasting_dataset!C:C)</f>
        <v>93158168.427931488</v>
      </c>
    </row>
    <row r="8" spans="1:2" x14ac:dyDescent="0.25">
      <c r="A8" t="s">
        <v>40</v>
      </c>
      <c r="B8" t="s">
        <v>41</v>
      </c>
    </row>
    <row r="9" spans="1:2" x14ac:dyDescent="0.25">
      <c r="A9" t="s">
        <v>42</v>
      </c>
      <c r="B9">
        <f>SUM(revenue_forecasting_dataset!D:D)</f>
        <v>31116955.890000008</v>
      </c>
    </row>
    <row r="11" spans="1:2" x14ac:dyDescent="0.25">
      <c r="A11" t="s">
        <v>43</v>
      </c>
      <c r="B11" t="s">
        <v>44</v>
      </c>
    </row>
    <row r="12" spans="1:2" x14ac:dyDescent="0.25">
      <c r="A12" t="s">
        <v>45</v>
      </c>
      <c r="B12">
        <f>B6 - B9</f>
        <v>62041212.53793148</v>
      </c>
    </row>
    <row r="14" spans="1:2" x14ac:dyDescent="0.25">
      <c r="A14" t="s">
        <v>46</v>
      </c>
      <c r="B14" t="s">
        <v>47</v>
      </c>
    </row>
    <row r="15" spans="1:2" x14ac:dyDescent="0.25">
      <c r="A15" t="s">
        <v>48</v>
      </c>
      <c r="B15">
        <f>B12/B6</f>
        <v>0.66597716104656424</v>
      </c>
    </row>
  </sheetData>
  <conditionalFormatting sqref="B12">
    <cfRule type="cellIs" dxfId="4" priority="1" operator="lessThan">
      <formula>0</formula>
    </cfRule>
    <cfRule type="cellIs" dxfId="3" priority="2" operator="greaterThan">
      <formula>0</formula>
    </cfRule>
    <cfRule type="cellIs" dxfId="2" priority="5" operator="greaterThan">
      <formula>0</formula>
    </cfRule>
  </conditionalFormatting>
  <conditionalFormatting sqref="B15">
    <cfRule type="cellIs" dxfId="1" priority="3" operator="greaterThan">
      <formula>0</formula>
    </cfRule>
    <cfRule type="cellIs" dxfId="0" priority="4" operator="lessThan">
      <formula>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Department Summary</vt:lpstr>
      <vt:lpstr>Dashboard</vt:lpstr>
      <vt:lpstr>Monthly Summary</vt:lpstr>
      <vt:lpstr>Department Summary (variance)</vt:lpstr>
      <vt:lpstr>Sheet10</vt:lpstr>
      <vt:lpstr>revenue_forecasting_dataset</vt:lpstr>
      <vt:lpstr>Dashboard 2</vt:lpstr>
      <vt:lpstr>KPI_Helper</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dc:creator>
  <cp:lastModifiedBy>SHIVA</cp:lastModifiedBy>
  <dcterms:created xsi:type="dcterms:W3CDTF">2026-01-16T11:19:53Z</dcterms:created>
  <dcterms:modified xsi:type="dcterms:W3CDTF">2026-01-16T20:21:54Z</dcterms:modified>
</cp:coreProperties>
</file>